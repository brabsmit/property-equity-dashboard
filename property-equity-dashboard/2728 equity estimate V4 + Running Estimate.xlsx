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ya\OneDrive\Documents\"/>
    </mc:Choice>
  </mc:AlternateContent>
  <xr:revisionPtr revIDLastSave="0" documentId="8_{D61B8A9D-B2EF-47A8-A30F-9E923C5C0DEA}" xr6:coauthVersionLast="47" xr6:coauthVersionMax="47" xr10:uidLastSave="{00000000-0000-0000-0000-000000000000}"/>
  <bookViews>
    <workbookView xWindow="-110" yWindow="-110" windowWidth="22780" windowHeight="14540" activeTab="2" xr2:uid="{8C1B300B-DF1A-4E0F-9EEC-CD9D6305F141}"/>
  </bookViews>
  <sheets>
    <sheet name="Sheet1" sheetId="1" r:id="rId1"/>
    <sheet name="w extra principal payment" sheetId="2" r:id="rId2"/>
    <sheet name="Running Expen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3" l="1"/>
  <c r="K40" i="3"/>
  <c r="K39" i="3"/>
  <c r="K38" i="3"/>
  <c r="H17" i="1"/>
  <c r="X7" i="3"/>
  <c r="X8" i="3"/>
  <c r="X9" i="3"/>
  <c r="X10" i="3"/>
  <c r="X11" i="3"/>
  <c r="X6" i="3"/>
  <c r="X5" i="3"/>
  <c r="G17" i="1"/>
  <c r="G16" i="1"/>
  <c r="G9" i="1"/>
  <c r="G8" i="1"/>
  <c r="G7" i="1"/>
  <c r="U6" i="3"/>
  <c r="U7" i="3"/>
  <c r="U8" i="3"/>
  <c r="U9" i="3"/>
  <c r="U10" i="3"/>
  <c r="U11" i="3"/>
  <c r="U5" i="3"/>
  <c r="K7" i="3"/>
  <c r="K13" i="3" s="1"/>
  <c r="L35" i="3"/>
  <c r="L32" i="3"/>
  <c r="L29" i="3"/>
  <c r="L25" i="3"/>
  <c r="L18" i="3"/>
  <c r="L13" i="3"/>
  <c r="L7" i="3"/>
  <c r="J35" i="3"/>
  <c r="J32" i="3"/>
  <c r="J29" i="3"/>
  <c r="J25" i="3"/>
  <c r="J18" i="3"/>
  <c r="J13" i="3"/>
  <c r="J7" i="3"/>
  <c r="Q2" i="3"/>
  <c r="P2" i="3"/>
  <c r="O2" i="3"/>
  <c r="D38" i="1"/>
  <c r="E27" i="1"/>
  <c r="D18" i="1"/>
  <c r="D21" i="1" s="1"/>
  <c r="D22" i="1" s="1"/>
  <c r="K13" i="1"/>
  <c r="J13" i="1"/>
  <c r="I13" i="1"/>
  <c r="H13" i="1"/>
  <c r="H12" i="1"/>
  <c r="Q8" i="1"/>
  <c r="I8" i="1"/>
  <c r="J8" i="1"/>
  <c r="K8" i="1"/>
  <c r="L8" i="1"/>
  <c r="M8" i="1"/>
  <c r="N8" i="1"/>
  <c r="O8" i="1"/>
  <c r="P8" i="1"/>
  <c r="H8" i="1"/>
  <c r="D32" i="1"/>
  <c r="D31" i="1"/>
  <c r="D29" i="1"/>
  <c r="D14" i="1" s="1"/>
  <c r="I12" i="1" s="1"/>
  <c r="J12" i="1" s="1"/>
  <c r="K12" i="1" s="1"/>
  <c r="L12" i="1" s="1"/>
  <c r="M12" i="1" s="1"/>
  <c r="N12" i="1" s="1"/>
  <c r="O12" i="1" s="1"/>
  <c r="P12" i="1" s="1"/>
  <c r="Q12" i="1" s="1"/>
  <c r="I14" i="2"/>
  <c r="J14" i="2"/>
  <c r="K14" i="2"/>
  <c r="L14" i="2"/>
  <c r="M14" i="2"/>
  <c r="N14" i="2"/>
  <c r="O14" i="2"/>
  <c r="P14" i="2"/>
  <c r="Q14" i="2"/>
  <c r="H14" i="2"/>
  <c r="H13" i="2"/>
  <c r="D17" i="2"/>
  <c r="D20" i="2" s="1"/>
  <c r="D21" i="2" s="1"/>
  <c r="H12" i="2"/>
  <c r="I12" i="2" s="1"/>
  <c r="J12" i="2" s="1"/>
  <c r="K12" i="2" s="1"/>
  <c r="L12" i="2" s="1"/>
  <c r="M12" i="2" s="1"/>
  <c r="N12" i="2" s="1"/>
  <c r="O12" i="2" s="1"/>
  <c r="P12" i="2" s="1"/>
  <c r="Q12" i="2" s="1"/>
  <c r="H11" i="2"/>
  <c r="H10" i="2"/>
  <c r="H9" i="2"/>
  <c r="H7" i="2"/>
  <c r="H4" i="2"/>
  <c r="H19" i="2" s="1"/>
  <c r="H9" i="1"/>
  <c r="H10" i="1"/>
  <c r="H14" i="1" s="1"/>
  <c r="H20" i="1" s="1"/>
  <c r="H11" i="1"/>
  <c r="H4" i="1"/>
  <c r="I4" i="1" s="1"/>
  <c r="J4" i="1" s="1"/>
  <c r="K4" i="1" s="1"/>
  <c r="L4" i="1" s="1"/>
  <c r="M4" i="1" s="1"/>
  <c r="N4" i="1" s="1"/>
  <c r="O4" i="1" s="1"/>
  <c r="P4" i="1" s="1"/>
  <c r="Q4" i="1" s="1"/>
  <c r="H7" i="1"/>
  <c r="I7" i="1" s="1"/>
  <c r="V5" i="3" l="1"/>
  <c r="K18" i="3"/>
  <c r="V6" i="3"/>
  <c r="P5" i="3"/>
  <c r="H18" i="1"/>
  <c r="H22" i="1" s="1"/>
  <c r="D23" i="1"/>
  <c r="D22" i="2"/>
  <c r="H26" i="2"/>
  <c r="I10" i="2"/>
  <c r="I13" i="2" s="1"/>
  <c r="I11" i="2"/>
  <c r="I4" i="2"/>
  <c r="I7" i="2"/>
  <c r="H17" i="2"/>
  <c r="H21" i="2" s="1"/>
  <c r="I9" i="2"/>
  <c r="I9" i="1"/>
  <c r="I11" i="1"/>
  <c r="I10" i="1"/>
  <c r="J7" i="1"/>
  <c r="V7" i="3" l="1"/>
  <c r="K25" i="3"/>
  <c r="I18" i="1"/>
  <c r="H28" i="1"/>
  <c r="H26" i="1" s="1"/>
  <c r="I22" i="1"/>
  <c r="H29" i="1"/>
  <c r="H23" i="1"/>
  <c r="H24" i="1" s="1"/>
  <c r="I23" i="1"/>
  <c r="J9" i="1"/>
  <c r="H27" i="2"/>
  <c r="H28" i="2" s="1"/>
  <c r="J10" i="2"/>
  <c r="J13" i="2" s="1"/>
  <c r="J11" i="2"/>
  <c r="J9" i="2"/>
  <c r="I17" i="2"/>
  <c r="I22" i="2" s="1"/>
  <c r="J7" i="2"/>
  <c r="I19" i="2"/>
  <c r="I26" i="2" s="1"/>
  <c r="J4" i="2"/>
  <c r="H22" i="2"/>
  <c r="H23" i="2" s="1"/>
  <c r="H27" i="1"/>
  <c r="I14" i="1"/>
  <c r="K7" i="1"/>
  <c r="V8" i="3" l="1"/>
  <c r="K29" i="3"/>
  <c r="I28" i="1"/>
  <c r="I26" i="1" s="1"/>
  <c r="J10" i="1"/>
  <c r="I20" i="1"/>
  <c r="I27" i="1" s="1"/>
  <c r="K9" i="1"/>
  <c r="I21" i="2"/>
  <c r="I27" i="2" s="1"/>
  <c r="I28" i="2"/>
  <c r="I23" i="2"/>
  <c r="K10" i="2"/>
  <c r="K13" i="2" s="1"/>
  <c r="K11" i="2"/>
  <c r="J19" i="2"/>
  <c r="J26" i="2" s="1"/>
  <c r="K4" i="2"/>
  <c r="K7" i="2"/>
  <c r="J17" i="2"/>
  <c r="J22" i="2" s="1"/>
  <c r="K9" i="2"/>
  <c r="J11" i="1"/>
  <c r="J18" i="1" s="1"/>
  <c r="L7" i="1"/>
  <c r="V9" i="3" l="1"/>
  <c r="K32" i="3"/>
  <c r="J22" i="1"/>
  <c r="I24" i="1"/>
  <c r="J23" i="1"/>
  <c r="I29" i="1"/>
  <c r="L9" i="1"/>
  <c r="J23" i="2"/>
  <c r="L11" i="2"/>
  <c r="L10" i="2"/>
  <c r="L13" i="2" s="1"/>
  <c r="L9" i="2"/>
  <c r="K17" i="2"/>
  <c r="K22" i="2" s="1"/>
  <c r="J21" i="2"/>
  <c r="J27" i="2" s="1"/>
  <c r="J28" i="2" s="1"/>
  <c r="K19" i="2"/>
  <c r="K26" i="2" s="1"/>
  <c r="L4" i="2"/>
  <c r="K21" i="2"/>
  <c r="K27" i="2" s="1"/>
  <c r="L7" i="2"/>
  <c r="J14" i="1"/>
  <c r="M7" i="1"/>
  <c r="V10" i="3" l="1"/>
  <c r="K35" i="3"/>
  <c r="V11" i="3" s="1"/>
  <c r="K10" i="1"/>
  <c r="K14" i="1" s="1"/>
  <c r="J20" i="1"/>
  <c r="J24" i="1" s="1"/>
  <c r="M9" i="1"/>
  <c r="K23" i="2"/>
  <c r="M10" i="2"/>
  <c r="M13" i="2" s="1"/>
  <c r="M11" i="2"/>
  <c r="M7" i="2"/>
  <c r="L19" i="2"/>
  <c r="L26" i="2" s="1"/>
  <c r="M4" i="2"/>
  <c r="K28" i="2"/>
  <c r="M9" i="2"/>
  <c r="L17" i="2"/>
  <c r="L22" i="2" s="1"/>
  <c r="J28" i="1"/>
  <c r="J26" i="1" s="1"/>
  <c r="K11" i="1"/>
  <c r="K18" i="1" s="1"/>
  <c r="N7" i="1"/>
  <c r="K22" i="1" l="1"/>
  <c r="J27" i="1"/>
  <c r="J29" i="1" s="1"/>
  <c r="L10" i="1"/>
  <c r="K20" i="1"/>
  <c r="K27" i="1" s="1"/>
  <c r="N9" i="1"/>
  <c r="L23" i="2"/>
  <c r="N10" i="2"/>
  <c r="N13" i="2" s="1"/>
  <c r="N11" i="2"/>
  <c r="N9" i="2"/>
  <c r="M17" i="2"/>
  <c r="M22" i="2" s="1"/>
  <c r="M19" i="2"/>
  <c r="M26" i="2" s="1"/>
  <c r="N4" i="2"/>
  <c r="L21" i="2"/>
  <c r="L27" i="2" s="1"/>
  <c r="L28" i="2" s="1"/>
  <c r="N7" i="2"/>
  <c r="L11" i="1"/>
  <c r="L18" i="1" s="1"/>
  <c r="L22" i="1" s="1"/>
  <c r="O7" i="1"/>
  <c r="L23" i="1" l="1"/>
  <c r="K23" i="1"/>
  <c r="K24" i="1" s="1"/>
  <c r="O9" i="1"/>
  <c r="M21" i="2"/>
  <c r="M27" i="2" s="1"/>
  <c r="M23" i="2"/>
  <c r="O10" i="2"/>
  <c r="O13" i="2" s="1"/>
  <c r="O11" i="2"/>
  <c r="O4" i="2"/>
  <c r="N19" i="2"/>
  <c r="N26" i="2" s="1"/>
  <c r="O7" i="2"/>
  <c r="O9" i="2"/>
  <c r="N17" i="2"/>
  <c r="N22" i="2" s="1"/>
  <c r="M28" i="2"/>
  <c r="L14" i="1"/>
  <c r="P7" i="1"/>
  <c r="L28" i="1" l="1"/>
  <c r="M10" i="1"/>
  <c r="L20" i="1"/>
  <c r="L24" i="1" s="1"/>
  <c r="P9" i="1"/>
  <c r="N23" i="2"/>
  <c r="P10" i="2"/>
  <c r="P13" i="2" s="1"/>
  <c r="P11" i="2"/>
  <c r="P9" i="2"/>
  <c r="O17" i="2"/>
  <c r="O22" i="2" s="1"/>
  <c r="N21" i="2"/>
  <c r="N27" i="2" s="1"/>
  <c r="O21" i="2"/>
  <c r="O27" i="2" s="1"/>
  <c r="P7" i="2"/>
  <c r="N28" i="2"/>
  <c r="P4" i="2"/>
  <c r="O19" i="2"/>
  <c r="O26" i="2" s="1"/>
  <c r="K28" i="1"/>
  <c r="M11" i="1"/>
  <c r="M18" i="1" s="1"/>
  <c r="Q7" i="1"/>
  <c r="M22" i="1" l="1"/>
  <c r="K29" i="1"/>
  <c r="K26" i="1"/>
  <c r="L26" i="1" s="1"/>
  <c r="L27" i="1"/>
  <c r="L29" i="1" s="1"/>
  <c r="Q9" i="1"/>
  <c r="O28" i="2"/>
  <c r="O23" i="2"/>
  <c r="Q11" i="2"/>
  <c r="Q10" i="2"/>
  <c r="Q13" i="2" s="1"/>
  <c r="Q7" i="2"/>
  <c r="P19" i="2"/>
  <c r="P26" i="2" s="1"/>
  <c r="Q4" i="2"/>
  <c r="P17" i="2"/>
  <c r="P21" i="2" s="1"/>
  <c r="P27" i="2" s="1"/>
  <c r="Q9" i="2"/>
  <c r="M14" i="1"/>
  <c r="M23" i="1" l="1"/>
  <c r="N10" i="1"/>
  <c r="M20" i="1"/>
  <c r="M27" i="1" s="1"/>
  <c r="Q19" i="2"/>
  <c r="Q26" i="2" s="1"/>
  <c r="P22" i="2"/>
  <c r="P23" i="2" s="1"/>
  <c r="Q17" i="2"/>
  <c r="Q21" i="2" s="1"/>
  <c r="Q27" i="2" s="1"/>
  <c r="Q28" i="2" s="1"/>
  <c r="H30" i="2" s="1"/>
  <c r="P28" i="2"/>
  <c r="M28" i="1"/>
  <c r="M26" i="1" s="1"/>
  <c r="N11" i="1"/>
  <c r="N18" i="1" l="1"/>
  <c r="N22" i="1" s="1"/>
  <c r="N28" i="1" s="1"/>
  <c r="N26" i="1" s="1"/>
  <c r="M24" i="1"/>
  <c r="M29" i="1"/>
  <c r="Q22" i="2"/>
  <c r="Q23" i="2" s="1"/>
  <c r="D23" i="2" s="1"/>
  <c r="N14" i="1"/>
  <c r="N20" i="1" s="1"/>
  <c r="N23" i="1" l="1"/>
  <c r="N24" i="1" s="1"/>
  <c r="N27" i="1"/>
  <c r="N29" i="1" s="1"/>
  <c r="O10" i="1"/>
  <c r="O11" i="1"/>
  <c r="O18" i="1" s="1"/>
  <c r="O22" i="1" s="1"/>
  <c r="O23" i="1" l="1"/>
  <c r="O14" i="1"/>
  <c r="O28" i="1" l="1"/>
  <c r="O26" i="1" s="1"/>
  <c r="P10" i="1"/>
  <c r="O20" i="1"/>
  <c r="O27" i="1" s="1"/>
  <c r="P11" i="1"/>
  <c r="P18" i="1" l="1"/>
  <c r="P22" i="1" s="1"/>
  <c r="P28" i="1" s="1"/>
  <c r="P26" i="1" s="1"/>
  <c r="O29" i="1"/>
  <c r="O24" i="1"/>
  <c r="P14" i="1"/>
  <c r="P23" i="1" l="1"/>
  <c r="Q10" i="1"/>
  <c r="P20" i="1"/>
  <c r="Q11" i="1"/>
  <c r="Q18" i="1" l="1"/>
  <c r="Q22" i="1" s="1"/>
  <c r="R22" i="1" s="1"/>
  <c r="P24" i="1"/>
  <c r="P27" i="1"/>
  <c r="P29" i="1" s="1"/>
  <c r="Q14" i="1"/>
  <c r="Q20" i="1" s="1"/>
  <c r="Q23" i="1" l="1"/>
  <c r="Q24" i="1" s="1"/>
  <c r="D24" i="1" s="1"/>
  <c r="Q28" i="1"/>
  <c r="Q26" i="1" s="1"/>
  <c r="Q27" i="1"/>
  <c r="R24" i="1" l="1"/>
  <c r="Q29" i="1"/>
  <c r="H31" i="1" s="1"/>
</calcChain>
</file>

<file path=xl/sharedStrings.xml><?xml version="1.0" encoding="utf-8"?>
<sst xmlns="http://schemas.openxmlformats.org/spreadsheetml/2006/main" count="139" uniqueCount="75">
  <si>
    <t>Home Value</t>
  </si>
  <si>
    <t>Home value increase per year</t>
  </si>
  <si>
    <t>Inflation</t>
  </si>
  <si>
    <t>Maint. Per Mo</t>
  </si>
  <si>
    <t>Rent</t>
  </si>
  <si>
    <t>Tax Rate</t>
  </si>
  <si>
    <t>Principle</t>
  </si>
  <si>
    <t>Interest</t>
  </si>
  <si>
    <t>Escrow</t>
  </si>
  <si>
    <t>Loan Balance</t>
  </si>
  <si>
    <t>Loan Rate</t>
  </si>
  <si>
    <t>Equity</t>
  </si>
  <si>
    <t>Cash Flow</t>
  </si>
  <si>
    <t>Year</t>
  </si>
  <si>
    <t>Net Value</t>
  </si>
  <si>
    <t>Rent Increase per year</t>
  </si>
  <si>
    <t>Maint.</t>
  </si>
  <si>
    <t>Net Value + Equity</t>
  </si>
  <si>
    <t>Bryan Equity</t>
  </si>
  <si>
    <t>Bryan Cash Flow</t>
  </si>
  <si>
    <t>Bryan Net Value</t>
  </si>
  <si>
    <t>Purchase Price</t>
  </si>
  <si>
    <t>Land Value</t>
  </si>
  <si>
    <t>https://docs.oklahomacounty.org/AssessorWP5/AN-R.asp?PropertyID=124217</t>
  </si>
  <si>
    <t>Depreciable basis</t>
  </si>
  <si>
    <t>Depreciation</t>
  </si>
  <si>
    <t>Taxes (neg = credit)</t>
  </si>
  <si>
    <t>Initial Inv.</t>
  </si>
  <si>
    <t>Bryan's CAGR</t>
  </si>
  <si>
    <t>Init. Inv</t>
  </si>
  <si>
    <t>Andy's CAGR</t>
  </si>
  <si>
    <t>Extra Principal</t>
  </si>
  <si>
    <t>Extra Principal/mo</t>
  </si>
  <si>
    <t>Total. Inv</t>
  </si>
  <si>
    <t>Escrow Total</t>
  </si>
  <si>
    <t>Insurance</t>
  </si>
  <si>
    <t>Property Tax</t>
  </si>
  <si>
    <t>PMI</t>
  </si>
  <si>
    <t>month</t>
  </si>
  <si>
    <t>Prop. Mng.</t>
  </si>
  <si>
    <t>Bryan Discount</t>
  </si>
  <si>
    <t>Cum</t>
  </si>
  <si>
    <t>Closing Costs</t>
  </si>
  <si>
    <t>Prop Manag. Fee</t>
  </si>
  <si>
    <t>Escrow (-PMI)</t>
  </si>
  <si>
    <t>Transactions</t>
  </si>
  <si>
    <t>Income</t>
  </si>
  <si>
    <t>Payment</t>
  </si>
  <si>
    <t>Date</t>
  </si>
  <si>
    <t>Notes</t>
  </si>
  <si>
    <t>Account set-up</t>
  </si>
  <si>
    <t>Deep Cleaning</t>
  </si>
  <si>
    <t>Lease Fee</t>
  </si>
  <si>
    <t>Manag Fee</t>
  </si>
  <si>
    <t>Mortgage</t>
  </si>
  <si>
    <t>Rent Income</t>
  </si>
  <si>
    <t>Toilet Repair</t>
  </si>
  <si>
    <t>MX Payment</t>
  </si>
  <si>
    <t>Plumbing Leak investigation</t>
  </si>
  <si>
    <t>Irrigation Leak</t>
  </si>
  <si>
    <t>Water Leak Repair</t>
  </si>
  <si>
    <t>Dry wall / tile repair</t>
  </si>
  <si>
    <t>Garage Door Fix</t>
  </si>
  <si>
    <t>Property Reserve</t>
  </si>
  <si>
    <t>Monthly Net</t>
  </si>
  <si>
    <t>Running Tool</t>
  </si>
  <si>
    <t>Running Net</t>
  </si>
  <si>
    <t>Monthly</t>
  </si>
  <si>
    <t>Initial Projection</t>
  </si>
  <si>
    <t>Running Projection</t>
  </si>
  <si>
    <t>Bryan Payment</t>
  </si>
  <si>
    <t>Initial Req.</t>
  </si>
  <si>
    <t>Excluding Fee/deposit / Escrow</t>
  </si>
  <si>
    <t>Bryan';s Split</t>
  </si>
  <si>
    <t>Bryan Net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</si>
</sst>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9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8" fontId="0" fillId="0" borderId="0" xfId="0" applyNumberFormat="1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9" fontId="0" fillId="0" borderId="0" xfId="2" applyFont="1"/>
    <xf numFmtId="10" fontId="0" fillId="0" borderId="0" xfId="2" applyNumberFormat="1" applyFont="1"/>
    <xf numFmtId="0" fontId="0" fillId="2" borderId="0" xfId="0" applyFill="1"/>
    <xf numFmtId="44" fontId="0" fillId="2" borderId="0" xfId="0" applyNumberFormat="1" applyFill="1"/>
    <xf numFmtId="14" fontId="0" fillId="0" borderId="0" xfId="0" applyNumberFormat="1"/>
    <xf numFmtId="2" fontId="3" fillId="3" borderId="0" xfId="0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Equity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Sheet1!$H$20:$Q$20</c:f>
              <c:numCache>
                <c:formatCode>_("$"* #,##0_);_("$"* \(#,##0\);_("$"* "-"??_);_(@_)</c:formatCode>
                <c:ptCount val="10"/>
                <c:pt idx="0">
                  <c:v>72412.709607327881</c:v>
                </c:pt>
                <c:pt idx="1">
                  <c:v>90397.88233313465</c:v>
                </c:pt>
                <c:pt idx="2">
                  <c:v>109187.17970521728</c:v>
                </c:pt>
                <c:pt idx="3">
                  <c:v>128817.84130188765</c:v>
                </c:pt>
                <c:pt idx="4">
                  <c:v>149328.90025267861</c:v>
                </c:pt>
                <c:pt idx="5">
                  <c:v>170761.2731880811</c:v>
                </c:pt>
                <c:pt idx="6">
                  <c:v>193157.8548779118</c:v>
                </c:pt>
                <c:pt idx="7">
                  <c:v>216563.61781118484</c:v>
                </c:pt>
                <c:pt idx="8">
                  <c:v>241025.71698439124</c:v>
                </c:pt>
                <c:pt idx="9">
                  <c:v>266593.60017991229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57-4E0C-B3A0-A2230359B5B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36921936"/>
        <c:axId val="575174464"/>
      </c:lineChart>
      <c:catAx>
        <c:axId val="736921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74464"/>
        <c:crosses val="autoZero"/>
        <c:auto val="1"/>
        <c:lblAlgn val="ctr"/>
        <c:lblOffset val="100"/>
        <c:noMultiLvlLbl val="0"/>
      </c:catAx>
      <c:valAx>
        <c:axId val="57517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Equity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92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Yearly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Sheet1!$G$22</c:f>
              <c:strCache>
                <c:ptCount val="1"/>
                <c:pt idx="0">
                  <c:v>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Sheet1!$H$22:$Q$22</c:f>
              <c:numCache>
                <c:formatCode>_("$"* #,##0_);_("$"* \(#,##0\);_("$"* "-"??_);_(@_)</c:formatCode>
                <c:ptCount val="10"/>
                <c:pt idx="0">
                  <c:v>-5073.7367030260366</c:v>
                </c:pt>
                <c:pt idx="1">
                  <c:v>-4648.930813540981</c:v>
                </c:pt>
                <c:pt idx="2">
                  <c:v>-4206.0884915895786</c:v>
                </c:pt>
                <c:pt idx="3">
                  <c:v>-3744.4913112413101</c:v>
                </c:pt>
                <c:pt idx="4">
                  <c:v>-2891.8454584702376</c:v>
                </c:pt>
                <c:pt idx="5">
                  <c:v>-2390.4760553736801</c:v>
                </c:pt>
                <c:pt idx="6">
                  <c:v>-1868.0334623760555</c:v>
                </c:pt>
                <c:pt idx="7">
                  <c:v>-1323.6875583700689</c:v>
                </c:pt>
                <c:pt idx="8">
                  <c:v>-756.57799879703066</c:v>
                </c:pt>
                <c:pt idx="9">
                  <c:v>-165.81325172274524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1-4B93-8E63-D32EB70C1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633680"/>
        <c:axId val="1032629360"/>
      </c:barChart>
      <c:catAx>
        <c:axId val="103263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29360"/>
        <c:crosses val="autoZero"/>
        <c:auto val="1"/>
        <c:lblAlgn val="ctr"/>
        <c:lblOffset val="100"/>
        <c:noMultiLvlLbl val="0"/>
      </c:catAx>
      <c:valAx>
        <c:axId val="10326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3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Bryan's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4.3463502101627166E-2"/>
                  <c:y val="-0.111111070606929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39-4447-9974-2741ACFC32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Sheet1!$H$27:$Q$27</c:f>
              <c:numCache>
                <c:formatCode>_("$"* #,##0_);_("$"* \(#,##0\);_("$"* "-"??_);_(@_)</c:formatCode>
                <c:ptCount val="10"/>
                <c:pt idx="0">
                  <c:v>24137.569869109295</c:v>
                </c:pt>
                <c:pt idx="1">
                  <c:v>30132.627444378217</c:v>
                </c:pt>
                <c:pt idx="2">
                  <c:v>36395.726568405757</c:v>
                </c:pt>
                <c:pt idx="3">
                  <c:v>42939.280433962551</c:v>
                </c:pt>
                <c:pt idx="4">
                  <c:v>49776.300084226204</c:v>
                </c:pt>
                <c:pt idx="5">
                  <c:v>56920.424396027032</c:v>
                </c:pt>
                <c:pt idx="6">
                  <c:v>64385.9516259706</c:v>
                </c:pt>
                <c:pt idx="7">
                  <c:v>72187.872603728276</c:v>
                </c:pt>
                <c:pt idx="8">
                  <c:v>80341.905661463752</c:v>
                </c:pt>
                <c:pt idx="9">
                  <c:v>88864.533393304097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0-4399-A703-9251FB64670C}"/>
            </c:ext>
          </c:extLst>
        </c:ser>
        <c:ser>
          <c:idx val="1"/>
          <c:order val="1"/>
          <c:tx>
            <c:v>Cum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Sheet1!$H$26:$Q$26</c:f>
              <c:numCache>
                <c:formatCode>_("$"* #,##0_);_("$"* \(#,##0\);_("$"* "-"??_);_(@_)</c:formatCode>
                <c:ptCount val="10"/>
                <c:pt idx="0">
                  <c:v>19170.020067675348</c:v>
                </c:pt>
                <c:pt idx="1">
                  <c:v>20719.66367218901</c:v>
                </c:pt>
                <c:pt idx="2">
                  <c:v>22121.693169385537</c:v>
                </c:pt>
                <c:pt idx="3">
                  <c:v>23369.856939799305</c:v>
                </c:pt>
                <c:pt idx="4">
                  <c:v>24333.805425956052</c:v>
                </c:pt>
                <c:pt idx="5">
                  <c:v>25130.630777747279</c:v>
                </c:pt>
                <c:pt idx="6">
                  <c:v>25753.308598539297</c:v>
                </c:pt>
                <c:pt idx="7">
                  <c:v>26194.537784662654</c:v>
                </c:pt>
                <c:pt idx="8">
                  <c:v>26446.730450928331</c:v>
                </c:pt>
                <c:pt idx="9">
                  <c:v>26502.001534835912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21-498A-846F-EDF6744F9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175440"/>
        <c:axId val="940176400"/>
      </c:lineChart>
      <c:catAx>
        <c:axId val="940175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176400"/>
        <c:crosses val="autoZero"/>
        <c:auto val="1"/>
        <c:lblAlgn val="ctr"/>
        <c:lblOffset val="100"/>
        <c:noMultiLvlLbl val="0"/>
      </c:catAx>
      <c:valAx>
        <c:axId val="9401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17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Bryan's</a:t>
            </a:r>
            <a:r>
              <a:rPr lang="en-US" baseline="0"/>
              <a:t> </a:t>
            </a:r>
            <a:r>
              <a:rPr lang="en-US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Sheet1!$G$28</c:f>
              <c:strCache>
                <c:ptCount val="1"/>
                <c:pt idx="0">
                  <c:v>Bryan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Sheet1!$H$28:$Q$28</c:f>
              <c:numCache>
                <c:formatCode>_("$"* #,##0_);_("$"* \(#,##0\);_("$"* "-"??_);_(@_)</c:formatCode>
                <c:ptCount val="10"/>
                <c:pt idx="0">
                  <c:v>-19170.020067675348</c:v>
                </c:pt>
                <c:pt idx="1">
                  <c:v>-1549.6436045136604</c:v>
                </c:pt>
                <c:pt idx="2">
                  <c:v>-1402.0294971965261</c:v>
                </c:pt>
                <c:pt idx="3">
                  <c:v>-1248.16377041377</c:v>
                </c:pt>
                <c:pt idx="4">
                  <c:v>-963.94848615674584</c:v>
                </c:pt>
                <c:pt idx="5">
                  <c:v>-796.82535179122669</c:v>
                </c:pt>
                <c:pt idx="6">
                  <c:v>-622.67782079201845</c:v>
                </c:pt>
                <c:pt idx="7">
                  <c:v>-441.22918612335633</c:v>
                </c:pt>
                <c:pt idx="8">
                  <c:v>-252.19266626567688</c:v>
                </c:pt>
                <c:pt idx="9">
                  <c:v>-55.271083907581747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9-49B9-B9CA-5CAEC7C03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064624"/>
        <c:axId val="599076144"/>
      </c:barChart>
      <c:catAx>
        <c:axId val="599064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76144"/>
        <c:crosses val="autoZero"/>
        <c:auto val="1"/>
        <c:lblAlgn val="ctr"/>
        <c:lblOffset val="100"/>
        <c:noMultiLvlLbl val="0"/>
      </c:catAx>
      <c:valAx>
        <c:axId val="5990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6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Yearly Net</a:t>
            </a:r>
            <a:r>
              <a:rPr lang="en-US" baseline="0"/>
              <a:t> 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Sheet1!$G$23</c:f>
              <c:strCache>
                <c:ptCount val="1"/>
                <c:pt idx="0">
                  <c:v>Net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Sheet1!$H$23:$Q$23</c:f>
              <c:numCache>
                <c:formatCode>_("$"* #,##0_);_("$"* \(#,##0\);_("$"* "-"??_);_(@_)</c:formatCode>
                <c:ptCount val="10"/>
                <c:pt idx="0">
                  <c:v>-568.27709569818217</c:v>
                </c:pt>
                <c:pt idx="1">
                  <c:v>97.121912265811716</c:v>
                </c:pt>
                <c:pt idx="2">
                  <c:v>794.96888049303925</c:v>
                </c:pt>
                <c:pt idx="3">
                  <c:v>1526.8454854290553</c:v>
                </c:pt>
                <c:pt idx="4">
                  <c:v>2177.0805003206842</c:v>
                </c:pt>
                <c:pt idx="5">
                  <c:v>2982.0785683488193</c:v>
                </c:pt>
                <c:pt idx="6">
                  <c:v>3826.3371833074198</c:v>
                </c:pt>
                <c:pt idx="7">
                  <c:v>4711.775888989845</c:v>
                </c:pt>
                <c:pt idx="8">
                  <c:v>5640.409709059747</c:v>
                </c:pt>
                <c:pt idx="9">
                  <c:v>6614.3540198346527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A-4CCD-AC5E-6EEDE23EA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633680"/>
        <c:axId val="1032629360"/>
      </c:barChart>
      <c:catAx>
        <c:axId val="103263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29360"/>
        <c:crosses val="autoZero"/>
        <c:auto val="1"/>
        <c:lblAlgn val="ctr"/>
        <c:lblOffset val="100"/>
        <c:noMultiLvlLbl val="0"/>
      </c:catAx>
      <c:valAx>
        <c:axId val="10326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3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Yearly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Sheet1!$G$24</c:f>
              <c:strCache>
                <c:ptCount val="1"/>
                <c:pt idx="0">
                  <c:v>Net Value +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Sheet1!$H$24:$Q$24</c:f>
              <c:numCache>
                <c:formatCode>_("$"* #,##0_);_("$"* \(#,##0\);_("$"* "-"??_);_(@_)</c:formatCode>
                <c:ptCount val="10"/>
                <c:pt idx="0">
                  <c:v>71844.432511629697</c:v>
                </c:pt>
                <c:pt idx="1">
                  <c:v>90495.004245400458</c:v>
                </c:pt>
                <c:pt idx="2">
                  <c:v>109982.14858571031</c:v>
                </c:pt>
                <c:pt idx="3">
                  <c:v>130344.68678731671</c:v>
                </c:pt>
                <c:pt idx="4">
                  <c:v>151505.98075299928</c:v>
                </c:pt>
                <c:pt idx="5">
                  <c:v>173743.35175642991</c:v>
                </c:pt>
                <c:pt idx="6">
                  <c:v>196984.19206121922</c:v>
                </c:pt>
                <c:pt idx="7">
                  <c:v>221275.3937001747</c:v>
                </c:pt>
                <c:pt idx="8">
                  <c:v>246666.12669345099</c:v>
                </c:pt>
                <c:pt idx="9">
                  <c:v>273207.95419974695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A-41CC-99EC-9853E6B2A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633680"/>
        <c:axId val="1032629360"/>
      </c:barChart>
      <c:catAx>
        <c:axId val="103263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29360"/>
        <c:crosses val="autoZero"/>
        <c:auto val="1"/>
        <c:lblAlgn val="ctr"/>
        <c:lblOffset val="100"/>
        <c:noMultiLvlLbl val="0"/>
      </c:catAx>
      <c:valAx>
        <c:axId val="10326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3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Equity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Sheet1!$H$20:$Q$20</c:f>
              <c:numCache>
                <c:formatCode>_("$"* #,##0_);_("$"* \(#,##0\);_("$"* "-"??_);_(@_)</c:formatCode>
                <c:ptCount val="10"/>
                <c:pt idx="0">
                  <c:v>72412.709607327881</c:v>
                </c:pt>
                <c:pt idx="1">
                  <c:v>90397.88233313465</c:v>
                </c:pt>
                <c:pt idx="2">
                  <c:v>109187.17970521728</c:v>
                </c:pt>
                <c:pt idx="3">
                  <c:v>128817.84130188765</c:v>
                </c:pt>
                <c:pt idx="4">
                  <c:v>149328.90025267861</c:v>
                </c:pt>
                <c:pt idx="5">
                  <c:v>170761.2731880811</c:v>
                </c:pt>
                <c:pt idx="6">
                  <c:v>193157.8548779118</c:v>
                </c:pt>
                <c:pt idx="7">
                  <c:v>216563.61781118484</c:v>
                </c:pt>
                <c:pt idx="8">
                  <c:v>241025.71698439124</c:v>
                </c:pt>
                <c:pt idx="9">
                  <c:v>266593.60017991229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0-43E2-9EF2-E27239DABE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36921936"/>
        <c:axId val="575174464"/>
      </c:lineChart>
      <c:catAx>
        <c:axId val="736921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74464"/>
        <c:crosses val="autoZero"/>
        <c:auto val="1"/>
        <c:lblAlgn val="ctr"/>
        <c:lblOffset val="100"/>
        <c:noMultiLvlLbl val="0"/>
      </c:catAx>
      <c:valAx>
        <c:axId val="57517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Equity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92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Yearly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Sheet1!$G$22</c:f>
              <c:strCache>
                <c:ptCount val="1"/>
                <c:pt idx="0">
                  <c:v>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Sheet1!$H$22:$Q$22</c:f>
              <c:numCache>
                <c:formatCode>_("$"* #,##0_);_("$"* \(#,##0\);_("$"* "-"??_);_(@_)</c:formatCode>
                <c:ptCount val="10"/>
                <c:pt idx="0">
                  <c:v>-5073.7367030260366</c:v>
                </c:pt>
                <c:pt idx="1">
                  <c:v>-4648.930813540981</c:v>
                </c:pt>
                <c:pt idx="2">
                  <c:v>-4206.0884915895786</c:v>
                </c:pt>
                <c:pt idx="3">
                  <c:v>-3744.4913112413101</c:v>
                </c:pt>
                <c:pt idx="4">
                  <c:v>-2891.8454584702376</c:v>
                </c:pt>
                <c:pt idx="5">
                  <c:v>-2390.4760553736801</c:v>
                </c:pt>
                <c:pt idx="6">
                  <c:v>-1868.0334623760555</c:v>
                </c:pt>
                <c:pt idx="7">
                  <c:v>-1323.6875583700689</c:v>
                </c:pt>
                <c:pt idx="8">
                  <c:v>-756.57799879703066</c:v>
                </c:pt>
                <c:pt idx="9">
                  <c:v>-165.81325172274524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4-43A1-A417-07A97D114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633680"/>
        <c:axId val="1032629360"/>
      </c:barChart>
      <c:catAx>
        <c:axId val="103263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29360"/>
        <c:crosses val="autoZero"/>
        <c:auto val="1"/>
        <c:lblAlgn val="ctr"/>
        <c:lblOffset val="100"/>
        <c:noMultiLvlLbl val="0"/>
      </c:catAx>
      <c:valAx>
        <c:axId val="10326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3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Bryan's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Sheet1!$H$27:$Q$27</c:f>
              <c:numCache>
                <c:formatCode>_("$"* #,##0_);_("$"* \(#,##0\);_("$"* "-"??_);_(@_)</c:formatCode>
                <c:ptCount val="10"/>
                <c:pt idx="0">
                  <c:v>24137.569869109295</c:v>
                </c:pt>
                <c:pt idx="1">
                  <c:v>30132.627444378217</c:v>
                </c:pt>
                <c:pt idx="2">
                  <c:v>36395.726568405757</c:v>
                </c:pt>
                <c:pt idx="3">
                  <c:v>42939.280433962551</c:v>
                </c:pt>
                <c:pt idx="4">
                  <c:v>49776.300084226204</c:v>
                </c:pt>
                <c:pt idx="5">
                  <c:v>56920.424396027032</c:v>
                </c:pt>
                <c:pt idx="6">
                  <c:v>64385.9516259706</c:v>
                </c:pt>
                <c:pt idx="7">
                  <c:v>72187.872603728276</c:v>
                </c:pt>
                <c:pt idx="8">
                  <c:v>80341.905661463752</c:v>
                </c:pt>
                <c:pt idx="9">
                  <c:v>88864.533393304097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C-4A6F-BFA4-A2B3DEBD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175440"/>
        <c:axId val="940176400"/>
      </c:lineChart>
      <c:catAx>
        <c:axId val="940175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176400"/>
        <c:crosses val="autoZero"/>
        <c:auto val="1"/>
        <c:lblAlgn val="ctr"/>
        <c:lblOffset val="100"/>
        <c:noMultiLvlLbl val="0"/>
      </c:catAx>
      <c:valAx>
        <c:axId val="9401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17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Bryan's</a:t>
            </a:r>
            <a:r>
              <a:rPr lang="en-US" baseline="0"/>
              <a:t> </a:t>
            </a:r>
            <a:r>
              <a:rPr lang="en-US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Sheet1!$G$28</c:f>
              <c:strCache>
                <c:ptCount val="1"/>
                <c:pt idx="0">
                  <c:v>Bryan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Sheet1!$H$28:$Q$28</c:f>
              <c:numCache>
                <c:formatCode>_("$"* #,##0_);_("$"* \(#,##0\);_("$"* "-"??_);_(@_)</c:formatCode>
                <c:ptCount val="10"/>
                <c:pt idx="0">
                  <c:v>-19170.020067675348</c:v>
                </c:pt>
                <c:pt idx="1">
                  <c:v>-1549.6436045136604</c:v>
                </c:pt>
                <c:pt idx="2">
                  <c:v>-1402.0294971965261</c:v>
                </c:pt>
                <c:pt idx="3">
                  <c:v>-1248.16377041377</c:v>
                </c:pt>
                <c:pt idx="4">
                  <c:v>-963.94848615674584</c:v>
                </c:pt>
                <c:pt idx="5">
                  <c:v>-796.82535179122669</c:v>
                </c:pt>
                <c:pt idx="6">
                  <c:v>-622.67782079201845</c:v>
                </c:pt>
                <c:pt idx="7">
                  <c:v>-441.22918612335633</c:v>
                </c:pt>
                <c:pt idx="8">
                  <c:v>-252.19266626567688</c:v>
                </c:pt>
                <c:pt idx="9">
                  <c:v>-55.271083907581747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6-4532-9F6B-5A50612FE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064624"/>
        <c:axId val="599076144"/>
      </c:barChart>
      <c:catAx>
        <c:axId val="599064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76144"/>
        <c:crosses val="autoZero"/>
        <c:auto val="1"/>
        <c:lblAlgn val="ctr"/>
        <c:lblOffset val="100"/>
        <c:noMultiLvlLbl val="0"/>
      </c:catAx>
      <c:valAx>
        <c:axId val="5990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6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Yearly Net</a:t>
            </a:r>
            <a:r>
              <a:rPr lang="en-US" baseline="0"/>
              <a:t> 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Sheet1!$G$23</c:f>
              <c:strCache>
                <c:ptCount val="1"/>
                <c:pt idx="0">
                  <c:v>Net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Sheet1!$H$23:$Q$23</c:f>
              <c:numCache>
                <c:formatCode>_("$"* #,##0_);_("$"* \(#,##0\);_("$"* "-"??_);_(@_)</c:formatCode>
                <c:ptCount val="10"/>
                <c:pt idx="0">
                  <c:v>-568.27709569818217</c:v>
                </c:pt>
                <c:pt idx="1">
                  <c:v>97.121912265811716</c:v>
                </c:pt>
                <c:pt idx="2">
                  <c:v>794.96888049303925</c:v>
                </c:pt>
                <c:pt idx="3">
                  <c:v>1526.8454854290553</c:v>
                </c:pt>
                <c:pt idx="4">
                  <c:v>2177.0805003206842</c:v>
                </c:pt>
                <c:pt idx="5">
                  <c:v>2982.0785683488193</c:v>
                </c:pt>
                <c:pt idx="6">
                  <c:v>3826.3371833074198</c:v>
                </c:pt>
                <c:pt idx="7">
                  <c:v>4711.775888989845</c:v>
                </c:pt>
                <c:pt idx="8">
                  <c:v>5640.409709059747</c:v>
                </c:pt>
                <c:pt idx="9">
                  <c:v>6614.3540198346527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A-40A9-A02D-6E6C4F5C5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633680"/>
        <c:axId val="1032629360"/>
      </c:barChart>
      <c:catAx>
        <c:axId val="103263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29360"/>
        <c:crosses val="autoZero"/>
        <c:auto val="1"/>
        <c:lblAlgn val="ctr"/>
        <c:lblOffset val="100"/>
        <c:noMultiLvlLbl val="0"/>
      </c:catAx>
      <c:valAx>
        <c:axId val="10326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3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Yearly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Sheet1!$G$24</c:f>
              <c:strCache>
                <c:ptCount val="1"/>
                <c:pt idx="0">
                  <c:v>Net Value +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Sheet1!$H$24:$Q$24</c:f>
              <c:numCache>
                <c:formatCode>_("$"* #,##0_);_("$"* \(#,##0\);_("$"* "-"??_);_(@_)</c:formatCode>
                <c:ptCount val="10"/>
                <c:pt idx="0">
                  <c:v>71844.432511629697</c:v>
                </c:pt>
                <c:pt idx="1">
                  <c:v>90495.004245400458</c:v>
                </c:pt>
                <c:pt idx="2">
                  <c:v>109982.14858571031</c:v>
                </c:pt>
                <c:pt idx="3">
                  <c:v>130344.68678731671</c:v>
                </c:pt>
                <c:pt idx="4">
                  <c:v>151505.98075299928</c:v>
                </c:pt>
                <c:pt idx="5">
                  <c:v>173743.35175642991</c:v>
                </c:pt>
                <c:pt idx="6">
                  <c:v>196984.19206121922</c:v>
                </c:pt>
                <c:pt idx="7">
                  <c:v>221275.3937001747</c:v>
                </c:pt>
                <c:pt idx="8">
                  <c:v>246666.12669345099</c:v>
                </c:pt>
                <c:pt idx="9">
                  <c:v>273207.95419974695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4-4601-BACE-FE735E13A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633680"/>
        <c:axId val="1032629360"/>
      </c:barChart>
      <c:catAx>
        <c:axId val="103263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29360"/>
        <c:crosses val="autoZero"/>
        <c:auto val="1"/>
        <c:lblAlgn val="ctr"/>
        <c:lblOffset val="100"/>
        <c:noMultiLvlLbl val="0"/>
      </c:catAx>
      <c:valAx>
        <c:axId val="10326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3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'Running Expenses'!$U$4</c:f>
              <c:strCache>
                <c:ptCount val="1"/>
                <c:pt idx="0">
                  <c:v>Monthly 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'Running Expenses'!$T$5:$T$11</c:f>
              <c:numCache>
                <c:formatCode>m/d/yyyy</c:formatCode>
                <c:ptCount val="7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</c:numCache>
            </c:numRef>
          </c:cat>
          <c:val>
            <c:numRef>
              <c:f>'Running Expenses'!$U$5:$U$11</c:f>
              <c:numCache>
                <c:formatCode>_("$"* #,##0.00_);_("$"* \(#,##0.00\);_("$"* "-"??_);_(@_)</c:formatCode>
                <c:ptCount val="7"/>
                <c:pt idx="0">
                  <c:v>-804.7199999999998</c:v>
                </c:pt>
                <c:pt idx="1">
                  <c:v>-2174.7199999999998</c:v>
                </c:pt>
                <c:pt idx="2">
                  <c:v>-1233.2199999999998</c:v>
                </c:pt>
                <c:pt idx="3">
                  <c:v>-3337.1100000000006</c:v>
                </c:pt>
                <c:pt idx="4">
                  <c:v>-922.11000000000013</c:v>
                </c:pt>
                <c:pt idx="5">
                  <c:v>-622.11000000000013</c:v>
                </c:pt>
                <c:pt idx="6">
                  <c:v>-622.11000000000013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3-4EC0-AC8B-5B7BC9208C8D}"/>
            </c:ext>
          </c:extLst>
        </c:ser>
        <c:ser>
          <c:idx val="2"/>
          <c:order val="2"/>
          <c:tx>
            <c:strRef>
              <c:f>'Running Expenses'!$W$4</c:f>
              <c:strCache>
                <c:ptCount val="1"/>
                <c:pt idx="0">
                  <c:v>Initial Projection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'Running Expenses'!$W$5:$W$11</c:f>
              <c:numCache>
                <c:formatCode>0.00</c:formatCode>
                <c:ptCount val="7"/>
                <c:pt idx="0">
                  <c:v>-801.7558333333335</c:v>
                </c:pt>
                <c:pt idx="1">
                  <c:v>-801.7558333333335</c:v>
                </c:pt>
                <c:pt idx="2">
                  <c:v>-801.7558333333335</c:v>
                </c:pt>
                <c:pt idx="3">
                  <c:v>-801.7558333333335</c:v>
                </c:pt>
                <c:pt idx="4">
                  <c:v>-801.7558333333335</c:v>
                </c:pt>
                <c:pt idx="5">
                  <c:v>-801.7558333333335</c:v>
                </c:pt>
                <c:pt idx="6">
                  <c:v>-801.7558333333335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33-4EC0-AC8B-5B7BC9208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2374672"/>
        <c:axId val="1702372752"/>
      </c:barChart>
      <c:lineChart>
        <c:grouping val="standard"/>
        <c:varyColors val="0"/>
        <c:ser>
          <c:idx val="1"/>
          <c:order val="1"/>
          <c:tx>
            <c:strRef>
              <c:f>'Running Expenses'!$V$4</c:f>
              <c:strCache>
                <c:ptCount val="1"/>
                <c:pt idx="0">
                  <c:v>Running Net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9.166666666666666E-2"/>
                  <c:y val="0.17129629629629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33-4EC0-AC8B-5B7BC9208C8D}"/>
                </c:ext>
              </c:extLst>
            </c:dLbl>
            <c:dLbl>
              <c:idx val="2"/>
              <c:layout>
                <c:manualLayout>
                  <c:x val="-6.6666666666666666E-2"/>
                  <c:y val="0.129629629629629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33-4EC0-AC8B-5B7BC9208C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'Running Expenses'!$T$5:$T$11</c:f>
              <c:numCache>
                <c:formatCode>m/d/yyyy</c:formatCode>
                <c:ptCount val="7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</c:numCache>
            </c:numRef>
          </c:cat>
          <c:val>
            <c:numRef>
              <c:f>'Running Expenses'!$V$5:$V$11</c:f>
              <c:numCache>
                <c:formatCode>_("$"* #,##0.00_);_("$"* \(#,##0.00\);_("$"* "-"??_);_(@_)</c:formatCode>
                <c:ptCount val="7"/>
                <c:pt idx="0">
                  <c:v>-804.7199999999998</c:v>
                </c:pt>
                <c:pt idx="1">
                  <c:v>-2979.4399999999996</c:v>
                </c:pt>
                <c:pt idx="2">
                  <c:v>-4212.66</c:v>
                </c:pt>
                <c:pt idx="3">
                  <c:v>-7549.77</c:v>
                </c:pt>
                <c:pt idx="4">
                  <c:v>-8471.880000000001</c:v>
                </c:pt>
                <c:pt idx="5">
                  <c:v>-9093.9900000000016</c:v>
                </c:pt>
                <c:pt idx="6">
                  <c:v>-9716.1000000000022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3-4EC0-AC8B-5B7BC9208C8D}"/>
            </c:ext>
          </c:extLst>
        </c:ser>
        <c:ser>
          <c:idx val="3"/>
          <c:order val="3"/>
          <c:tx>
            <c:strRef>
              <c:f>'Running Expenses'!$X$4</c:f>
              <c:strCache>
                <c:ptCount val="1"/>
                <c:pt idx="0">
                  <c:v>Running Projection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'Running Expenses'!$X$5:$X$11</c:f>
              <c:numCache>
                <c:formatCode>0.00</c:formatCode>
                <c:ptCount val="7"/>
                <c:pt idx="0">
                  <c:v>-801.7558333333335</c:v>
                </c:pt>
                <c:pt idx="1">
                  <c:v>-1603.511666666667</c:v>
                </c:pt>
                <c:pt idx="2">
                  <c:v>-2405.2675000000004</c:v>
                </c:pt>
                <c:pt idx="3">
                  <c:v>-3207.023333333334</c:v>
                </c:pt>
                <c:pt idx="4">
                  <c:v>-4008.7791666666676</c:v>
                </c:pt>
                <c:pt idx="5">
                  <c:v>-4810.5350000000008</c:v>
                </c:pt>
                <c:pt idx="6">
                  <c:v>-5612.2908333333344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33-4EC0-AC8B-5B7BC9208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374672"/>
        <c:axId val="1702372752"/>
      </c:lineChart>
      <c:dateAx>
        <c:axId val="1702374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372752"/>
        <c:crosses val="autoZero"/>
        <c:auto val="1"/>
        <c:lblOffset val="100"/>
        <c:baseTimeUnit val="months"/>
      </c:dateAx>
      <c:valAx>
        <c:axId val="170237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37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212548</xdr:colOff>
      <xdr:row>20</xdr:row>
      <xdr:rowOff>149930</xdr:rowOff>
    </xdr:from>
    <xdr:to>
      <xdr:col>28</xdr:col>
      <xdr:colOff>508000</xdr:colOff>
      <xdr:row>36</xdr:row>
      <xdr:rowOff>166864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4CC66-1A86-1D55-A9DA-CDA523D96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396191</xdr:colOff>
      <xdr:row>4</xdr:row>
      <xdr:rowOff>26620</xdr:rowOff>
    </xdr:from>
    <xdr:to>
      <xdr:col>28</xdr:col>
      <xdr:colOff>91971</xdr:colOff>
      <xdr:row>20</xdr:row>
      <xdr:rowOff>19035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089375-224A-B378-0290-B2E8DEF76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99218</xdr:colOff>
      <xdr:row>38</xdr:row>
      <xdr:rowOff>152399</xdr:rowOff>
    </xdr:from>
    <xdr:to>
      <xdr:col>24</xdr:col>
      <xdr:colOff>107155</xdr:colOff>
      <xdr:row>53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817767-A7A9-BFC7-C4DD-81440CE2B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702468</xdr:colOff>
      <xdr:row>35</xdr:row>
      <xdr:rowOff>176213</xdr:rowOff>
    </xdr:from>
    <xdr:to>
      <xdr:col>15</xdr:col>
      <xdr:colOff>178593</xdr:colOff>
      <xdr:row>50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717458-9591-054E-7A91-42EDFADEC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249720</xdr:colOff>
      <xdr:row>4</xdr:row>
      <xdr:rowOff>42811</xdr:rowOff>
    </xdr:from>
    <xdr:to>
      <xdr:col>36</xdr:col>
      <xdr:colOff>551960</xdr:colOff>
      <xdr:row>20</xdr:row>
      <xdr:rowOff>35226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94F948-F4FD-41F3-AED7-B1DE5F919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338369</xdr:colOff>
      <xdr:row>20</xdr:row>
      <xdr:rowOff>135561</xdr:rowOff>
    </xdr:from>
    <xdr:to>
      <xdr:col>37</xdr:col>
      <xdr:colOff>34149</xdr:colOff>
      <xdr:row>35</xdr:row>
      <xdr:rowOff>127977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9830E5-6CAF-400F-97CE-7972D3326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212548</xdr:colOff>
      <xdr:row>19</xdr:row>
      <xdr:rowOff>149930</xdr:rowOff>
    </xdr:from>
    <xdr:to>
      <xdr:col>28</xdr:col>
      <xdr:colOff>508000</xdr:colOff>
      <xdr:row>35</xdr:row>
      <xdr:rowOff>166864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921562-CE5C-4718-9D10-1DA054FDE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396191</xdr:colOff>
      <xdr:row>4</xdr:row>
      <xdr:rowOff>26620</xdr:rowOff>
    </xdr:from>
    <xdr:to>
      <xdr:col>28</xdr:col>
      <xdr:colOff>91971</xdr:colOff>
      <xdr:row>19</xdr:row>
      <xdr:rowOff>19035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31F1A0-547E-4A6B-AC56-A89A266A6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329406</xdr:colOff>
      <xdr:row>36</xdr:row>
      <xdr:rowOff>136525</xdr:rowOff>
    </xdr:from>
    <xdr:to>
      <xdr:col>26</xdr:col>
      <xdr:colOff>11906</xdr:colOff>
      <xdr:row>51</xdr:row>
      <xdr:rowOff>141287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286245-BF7E-4AE3-B0D8-8E1F47B7E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702468</xdr:colOff>
      <xdr:row>34</xdr:row>
      <xdr:rowOff>176213</xdr:rowOff>
    </xdr:from>
    <xdr:to>
      <xdr:col>15</xdr:col>
      <xdr:colOff>178593</xdr:colOff>
      <xdr:row>49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183EA2-170F-4136-B2F6-1524C515F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249720</xdr:colOff>
      <xdr:row>4</xdr:row>
      <xdr:rowOff>42811</xdr:rowOff>
    </xdr:from>
    <xdr:to>
      <xdr:col>36</xdr:col>
      <xdr:colOff>551960</xdr:colOff>
      <xdr:row>19</xdr:row>
      <xdr:rowOff>35226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D449AD-C533-426B-BBA1-5DCCBB50E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449494</xdr:colOff>
      <xdr:row>17</xdr:row>
      <xdr:rowOff>135561</xdr:rowOff>
    </xdr:from>
    <xdr:to>
      <xdr:col>37</xdr:col>
      <xdr:colOff>145274</xdr:colOff>
      <xdr:row>32</xdr:row>
      <xdr:rowOff>127977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F7D3EE-C002-4904-A131-77276E471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517524</xdr:colOff>
      <xdr:row>10</xdr:row>
      <xdr:rowOff>57150</xdr:rowOff>
    </xdr:from>
    <xdr:to>
      <xdr:col>24</xdr:col>
      <xdr:colOff>95249</xdr:colOff>
      <xdr:row>34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841C7A-E7EC-7671-BF9A-1E51FE9A0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9F7C-4464-4924-B4CC-8304020C0B76}">
  <dimension ref="C3:S39"/>
  <sheetViews>
    <sheetView topLeftCell="C9" zoomScale="125" zoomScaleNormal="85" workbookViewId="0">
      <selection activeCell="H27" sqref="H27"/>
    </sheetView>
  </sheetViews>
  <sheetFormatPr defaultRowHeight="14.5" x14ac:dyDescent="0.35"/>
  <cols>
    <col min="3" max="3" width="27.453125" customWidth="1"/>
    <col min="4" max="4" width="12.7265625" bestFit="1" customWidth="1"/>
    <col min="5" max="5" width="12.26953125" customWidth="1"/>
    <col min="6" max="6" width="17.26953125" customWidth="1"/>
    <col min="7" max="7" width="19.54296875" customWidth="1"/>
    <col min="8" max="8" width="10.453125" bestFit="1" customWidth="1"/>
    <col min="9" max="17" width="10.26953125" bestFit="1" customWidth="1"/>
    <col min="18" max="18" width="12.81640625" customWidth="1"/>
    <col min="19" max="19" width="10.26953125" bestFit="1" customWidth="1"/>
  </cols>
  <sheetData>
    <row r="3" spans="3:19" x14ac:dyDescent="0.35">
      <c r="G3" t="s">
        <v>13</v>
      </c>
      <c r="H3">
        <v>1</v>
      </c>
      <c r="I3">
        <v>2</v>
      </c>
      <c r="J3">
        <v>3</v>
      </c>
      <c r="K3">
        <v>4</v>
      </c>
      <c r="L3">
        <v>5</v>
      </c>
      <c r="M3">
        <v>6</v>
      </c>
      <c r="N3">
        <v>7</v>
      </c>
      <c r="O3">
        <v>8</v>
      </c>
      <c r="P3">
        <v>9</v>
      </c>
      <c r="Q3">
        <v>10</v>
      </c>
    </row>
    <row r="4" spans="3:19" x14ac:dyDescent="0.35">
      <c r="C4" t="s">
        <v>0</v>
      </c>
      <c r="D4" s="3">
        <v>330000</v>
      </c>
      <c r="E4" s="3"/>
      <c r="F4" s="3" t="s">
        <v>0</v>
      </c>
      <c r="H4" s="8">
        <f>D4*(1+D5)</f>
        <v>343200</v>
      </c>
      <c r="I4" s="8">
        <f>H4*(1+$D$5)</f>
        <v>356928</v>
      </c>
      <c r="J4" s="8">
        <f t="shared" ref="J4:Q4" si="0">I4*(1+$D$5)</f>
        <v>371205.12</v>
      </c>
      <c r="K4" s="8">
        <f t="shared" si="0"/>
        <v>386053.3248</v>
      </c>
      <c r="L4" s="8">
        <f t="shared" si="0"/>
        <v>401495.45779200003</v>
      </c>
      <c r="M4" s="8">
        <f t="shared" si="0"/>
        <v>417555.27610368002</v>
      </c>
      <c r="N4" s="8">
        <f t="shared" si="0"/>
        <v>434257.48714782723</v>
      </c>
      <c r="O4" s="8">
        <f t="shared" si="0"/>
        <v>451627.78663374035</v>
      </c>
      <c r="P4" s="8">
        <f t="shared" si="0"/>
        <v>469692.89809908997</v>
      </c>
      <c r="Q4" s="8">
        <f t="shared" si="0"/>
        <v>488480.61402305361</v>
      </c>
      <c r="R4" s="4"/>
    </row>
    <row r="5" spans="3:19" x14ac:dyDescent="0.35">
      <c r="C5" t="s">
        <v>1</v>
      </c>
      <c r="D5" s="5">
        <v>0.04</v>
      </c>
      <c r="E5" s="5"/>
      <c r="F5" s="5"/>
      <c r="H5" s="8"/>
      <c r="I5" s="8"/>
      <c r="J5" s="8"/>
      <c r="K5" s="8"/>
      <c r="L5" s="8"/>
      <c r="M5" s="8"/>
      <c r="N5" s="8"/>
      <c r="O5" s="8"/>
      <c r="P5" s="8"/>
      <c r="Q5" s="8"/>
      <c r="R5" s="4"/>
    </row>
    <row r="6" spans="3:19" x14ac:dyDescent="0.35">
      <c r="C6" t="s">
        <v>2</v>
      </c>
      <c r="D6" s="5">
        <v>0.03</v>
      </c>
      <c r="E6" s="5"/>
      <c r="F6" s="5"/>
      <c r="G6" t="s">
        <v>67</v>
      </c>
      <c r="H6" s="8"/>
      <c r="I6" s="8"/>
      <c r="J6" s="8"/>
      <c r="K6" s="8"/>
      <c r="L6" s="8"/>
      <c r="M6" s="8"/>
      <c r="N6" s="8"/>
      <c r="O6" s="8"/>
      <c r="P6" s="8"/>
      <c r="Q6" s="8"/>
      <c r="R6" s="4"/>
    </row>
    <row r="7" spans="3:19" x14ac:dyDescent="0.35">
      <c r="C7" t="s">
        <v>15</v>
      </c>
      <c r="D7" s="5">
        <v>0.04</v>
      </c>
      <c r="E7" s="7"/>
      <c r="F7" s="7" t="s">
        <v>16</v>
      </c>
      <c r="G7" s="1">
        <f>D8</f>
        <v>300</v>
      </c>
      <c r="H7" s="8">
        <f>(D8*12)*(1+$D$6)</f>
        <v>3708</v>
      </c>
      <c r="I7" s="8">
        <f>H7*(1+$D$6)</f>
        <v>3819.2400000000002</v>
      </c>
      <c r="J7" s="8">
        <f t="shared" ref="J7:Q7" si="1">I7*(1+$D$6)</f>
        <v>3933.8172000000004</v>
      </c>
      <c r="K7" s="8">
        <f t="shared" si="1"/>
        <v>4051.8317160000006</v>
      </c>
      <c r="L7" s="8">
        <f t="shared" si="1"/>
        <v>4173.3866674800011</v>
      </c>
      <c r="M7" s="8">
        <f t="shared" si="1"/>
        <v>4298.5882675044013</v>
      </c>
      <c r="N7" s="8">
        <f t="shared" si="1"/>
        <v>4427.5459155295339</v>
      </c>
      <c r="O7" s="8">
        <f t="shared" si="1"/>
        <v>4560.3722929954201</v>
      </c>
      <c r="P7" s="8">
        <f t="shared" si="1"/>
        <v>4697.1834617852828</v>
      </c>
      <c r="Q7" s="8">
        <f t="shared" si="1"/>
        <v>4838.098965638841</v>
      </c>
      <c r="R7" s="4"/>
    </row>
    <row r="8" spans="3:19" x14ac:dyDescent="0.35">
      <c r="C8" t="s">
        <v>3</v>
      </c>
      <c r="D8" s="1">
        <v>300</v>
      </c>
      <c r="E8" s="1"/>
      <c r="F8" s="1" t="s">
        <v>39</v>
      </c>
      <c r="G8" s="4">
        <f>D11</f>
        <v>95</v>
      </c>
      <c r="H8" s="8">
        <f>12*$D$11</f>
        <v>1140</v>
      </c>
      <c r="I8" s="8">
        <f t="shared" ref="I8:P8" si="2">12*$D$11</f>
        <v>1140</v>
      </c>
      <c r="J8" s="8">
        <f t="shared" si="2"/>
        <v>1140</v>
      </c>
      <c r="K8" s="8">
        <f t="shared" si="2"/>
        <v>1140</v>
      </c>
      <c r="L8" s="8">
        <f t="shared" si="2"/>
        <v>1140</v>
      </c>
      <c r="M8" s="8">
        <f t="shared" si="2"/>
        <v>1140</v>
      </c>
      <c r="N8" s="8">
        <f t="shared" si="2"/>
        <v>1140</v>
      </c>
      <c r="O8" s="8">
        <f t="shared" si="2"/>
        <v>1140</v>
      </c>
      <c r="P8" s="8">
        <f t="shared" si="2"/>
        <v>1140</v>
      </c>
      <c r="Q8" s="8">
        <f>12*$D$11</f>
        <v>1140</v>
      </c>
    </row>
    <row r="9" spans="3:19" x14ac:dyDescent="0.35">
      <c r="C9" t="s">
        <v>4</v>
      </c>
      <c r="D9" s="3">
        <v>1850</v>
      </c>
      <c r="E9" s="3"/>
      <c r="F9" s="3" t="s">
        <v>4</v>
      </c>
      <c r="G9" s="4">
        <f>D9</f>
        <v>1850</v>
      </c>
      <c r="H9" s="8">
        <f>(D9*12)*(1+D7)</f>
        <v>23088</v>
      </c>
      <c r="I9" s="8">
        <f>H9*(1+$D$7)</f>
        <v>24011.52</v>
      </c>
      <c r="J9" s="8">
        <f t="shared" ref="J9:Q9" si="3">I9*(1+$D$7)</f>
        <v>24971.980800000001</v>
      </c>
      <c r="K9" s="8">
        <f t="shared" si="3"/>
        <v>25970.860032000001</v>
      </c>
      <c r="L9" s="8">
        <f t="shared" si="3"/>
        <v>27009.694433280001</v>
      </c>
      <c r="M9" s="8">
        <f t="shared" si="3"/>
        <v>28090.082210611203</v>
      </c>
      <c r="N9" s="8">
        <f t="shared" si="3"/>
        <v>29213.685499035651</v>
      </c>
      <c r="O9" s="8">
        <f t="shared" si="3"/>
        <v>30382.232918997077</v>
      </c>
      <c r="P9" s="8">
        <f t="shared" si="3"/>
        <v>31597.522235756962</v>
      </c>
      <c r="Q9" s="8">
        <f t="shared" si="3"/>
        <v>32861.423125187241</v>
      </c>
      <c r="R9" s="4"/>
      <c r="S9" s="4"/>
    </row>
    <row r="10" spans="3:19" x14ac:dyDescent="0.35">
      <c r="C10" t="s">
        <v>5</v>
      </c>
      <c r="D10" s="7">
        <v>0.24</v>
      </c>
      <c r="E10" s="2"/>
      <c r="F10" s="2" t="s">
        <v>6</v>
      </c>
      <c r="H10" s="8">
        <f>-PPMT(D16, 1, (28-H3+1), D15)</f>
        <v>4016.5796073278539</v>
      </c>
      <c r="I10" s="8">
        <f t="shared" ref="I10:Q10" si="4">-PPMT($D$16, 1, (28-I3+1), H14)</f>
        <v>4257.1727258067922</v>
      </c>
      <c r="J10" s="8">
        <f t="shared" si="4"/>
        <v>4512.1773720826186</v>
      </c>
      <c r="K10" s="8">
        <f t="shared" si="4"/>
        <v>4782.4567966703671</v>
      </c>
      <c r="L10" s="8">
        <f t="shared" si="4"/>
        <v>5068.9259587909228</v>
      </c>
      <c r="M10" s="8">
        <f t="shared" si="4"/>
        <v>5372.5546237224989</v>
      </c>
      <c r="N10" s="8">
        <f t="shared" si="4"/>
        <v>5694.3706456834771</v>
      </c>
      <c r="O10" s="8">
        <f t="shared" si="4"/>
        <v>6035.4634473599153</v>
      </c>
      <c r="P10" s="8">
        <f t="shared" si="4"/>
        <v>6396.9877078567761</v>
      </c>
      <c r="Q10" s="8">
        <f t="shared" si="4"/>
        <v>6780.167271557395</v>
      </c>
      <c r="R10" s="6"/>
    </row>
    <row r="11" spans="3:19" x14ac:dyDescent="0.35">
      <c r="C11" t="s">
        <v>43</v>
      </c>
      <c r="D11" s="3">
        <v>95</v>
      </c>
      <c r="E11" t="s">
        <v>38</v>
      </c>
      <c r="F11" s="3" t="s">
        <v>7</v>
      </c>
      <c r="H11" s="8">
        <f>-IPMT($D$16, 1, (28-H3+1), $D$15)</f>
        <v>16460.751812999999</v>
      </c>
      <c r="I11" s="8">
        <f t="shared" ref="I11:Q11" si="5">-IPMT($D$16, 1, (28-I3+1), H14)</f>
        <v>16220.15869452106</v>
      </c>
      <c r="J11" s="8">
        <f t="shared" si="5"/>
        <v>15965.154048245235</v>
      </c>
      <c r="K11" s="8">
        <f t="shared" si="5"/>
        <v>15694.874623657486</v>
      </c>
      <c r="L11" s="8">
        <f t="shared" si="5"/>
        <v>15408.405461536931</v>
      </c>
      <c r="M11" s="8">
        <f t="shared" si="5"/>
        <v>15104.776796605356</v>
      </c>
      <c r="N11" s="8">
        <f t="shared" si="5"/>
        <v>14782.960774644376</v>
      </c>
      <c r="O11" s="8">
        <f t="shared" si="5"/>
        <v>14441.867972967935</v>
      </c>
      <c r="P11" s="8">
        <f t="shared" si="5"/>
        <v>14080.343712471076</v>
      </c>
      <c r="Q11" s="8">
        <f t="shared" si="5"/>
        <v>13697.164148770456</v>
      </c>
      <c r="R11" s="6"/>
    </row>
    <row r="12" spans="3:19" x14ac:dyDescent="0.35">
      <c r="D12" s="3"/>
      <c r="E12" s="3"/>
      <c r="F12" s="3" t="s">
        <v>44</v>
      </c>
      <c r="H12" s="8">
        <f>(D14 - D32/12*(1+$D$6))*12</f>
        <v>5911.6036000000013</v>
      </c>
      <c r="I12" s="8">
        <f>H12*(1+$D$6)</f>
        <v>6088.9517080000014</v>
      </c>
      <c r="J12" s="8">
        <f t="shared" ref="J12:Q12" si="6">I12*(1+$D$6)</f>
        <v>6271.6202592400014</v>
      </c>
      <c r="K12" s="8">
        <f t="shared" si="6"/>
        <v>6459.768867017202</v>
      </c>
      <c r="L12" s="8">
        <f t="shared" si="6"/>
        <v>6653.5619330277186</v>
      </c>
      <c r="M12" s="8">
        <f t="shared" si="6"/>
        <v>6853.1687910185501</v>
      </c>
      <c r="N12" s="8">
        <f t="shared" si="6"/>
        <v>7058.7638547491069</v>
      </c>
      <c r="O12" s="8">
        <f t="shared" si="6"/>
        <v>7270.5267703915806</v>
      </c>
      <c r="P12" s="8">
        <f t="shared" si="6"/>
        <v>7488.6425735033281</v>
      </c>
      <c r="Q12" s="8">
        <f t="shared" si="6"/>
        <v>7713.301850708428</v>
      </c>
      <c r="R12" s="4"/>
    </row>
    <row r="13" spans="3:19" x14ac:dyDescent="0.35">
      <c r="D13" s="3"/>
      <c r="E13" s="3"/>
      <c r="F13" s="3" t="s">
        <v>37</v>
      </c>
      <c r="H13" s="8">
        <f>$D$32</f>
        <v>488.88</v>
      </c>
      <c r="I13" s="8">
        <f t="shared" ref="I13:K13" si="7">$D$32</f>
        <v>488.88</v>
      </c>
      <c r="J13" s="8">
        <f t="shared" si="7"/>
        <v>488.88</v>
      </c>
      <c r="K13" s="8">
        <f t="shared" si="7"/>
        <v>488.88</v>
      </c>
      <c r="L13" s="8"/>
      <c r="M13" s="8"/>
      <c r="N13" s="8"/>
      <c r="O13" s="8"/>
      <c r="P13" s="8"/>
      <c r="Q13" s="8"/>
      <c r="R13" s="4"/>
    </row>
    <row r="14" spans="3:19" x14ac:dyDescent="0.35">
      <c r="C14" t="s">
        <v>8</v>
      </c>
      <c r="D14" s="4">
        <f>D29/12</f>
        <v>534.59583333333342</v>
      </c>
      <c r="E14" s="4"/>
      <c r="F14" s="4" t="s">
        <v>9</v>
      </c>
      <c r="H14" s="8">
        <f>D15-H10</f>
        <v>270787.29039267212</v>
      </c>
      <c r="I14" s="8">
        <f>H14-I10</f>
        <v>266530.11766686535</v>
      </c>
      <c r="J14" s="8">
        <f t="shared" ref="J14:Q14" si="8">I14-J10</f>
        <v>262017.94029478272</v>
      </c>
      <c r="K14" s="8">
        <f t="shared" si="8"/>
        <v>257235.48349811236</v>
      </c>
      <c r="L14" s="8">
        <f t="shared" si="8"/>
        <v>252166.55753932142</v>
      </c>
      <c r="M14" s="8">
        <f t="shared" si="8"/>
        <v>246794.00291559892</v>
      </c>
      <c r="N14" s="8">
        <f t="shared" si="8"/>
        <v>241099.63226991543</v>
      </c>
      <c r="O14" s="8">
        <f t="shared" si="8"/>
        <v>235064.16882255551</v>
      </c>
      <c r="P14" s="8">
        <f t="shared" si="8"/>
        <v>228667.18111469873</v>
      </c>
      <c r="Q14" s="8">
        <f t="shared" si="8"/>
        <v>221887.01384314132</v>
      </c>
      <c r="R14" s="4"/>
    </row>
    <row r="15" spans="3:19" x14ac:dyDescent="0.35">
      <c r="C15" t="s">
        <v>9</v>
      </c>
      <c r="D15" s="3">
        <v>274803.87</v>
      </c>
      <c r="E15" s="3"/>
      <c r="F15" s="3" t="s">
        <v>54</v>
      </c>
      <c r="G15">
        <v>1722.16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4"/>
    </row>
    <row r="16" spans="3:19" x14ac:dyDescent="0.35">
      <c r="C16" t="s">
        <v>10</v>
      </c>
      <c r="D16" s="7">
        <v>5.9900000000000002E-2</v>
      </c>
      <c r="E16" s="2"/>
      <c r="F16" s="2" t="s">
        <v>8</v>
      </c>
      <c r="G16" s="4">
        <f>D14</f>
        <v>534.59583333333342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4"/>
    </row>
    <row r="17" spans="3:18" x14ac:dyDescent="0.35">
      <c r="G17" s="4">
        <f>G9-G8-G7-G15-G16</f>
        <v>-801.7558333333335</v>
      </c>
      <c r="H17" s="8">
        <f>G9-G8-G7</f>
        <v>1455</v>
      </c>
      <c r="I17" s="8"/>
      <c r="J17" s="8"/>
      <c r="K17" s="8"/>
      <c r="L17" s="8"/>
      <c r="M17" s="8"/>
      <c r="N17" s="8"/>
      <c r="O17" s="8"/>
      <c r="P17" s="8"/>
      <c r="Q17" s="8"/>
    </row>
    <row r="18" spans="3:18" x14ac:dyDescent="0.35">
      <c r="C18" t="s">
        <v>21</v>
      </c>
      <c r="D18" s="1">
        <f>319500+5000+D35</f>
        <v>332500</v>
      </c>
      <c r="G18" t="s">
        <v>26</v>
      </c>
      <c r="H18" s="8">
        <f>(H9-H7-H11-H12-$D$22-H8-H13)*$D$10</f>
        <v>-3564.0783173018181</v>
      </c>
      <c r="I18" s="8">
        <f t="shared" ref="I18:Q18" si="9">(I9-I7-I11-I12-$D$22-I8-I13)*$D$10</f>
        <v>-3353.9523147868731</v>
      </c>
      <c r="J18" s="8">
        <f t="shared" si="9"/>
        <v>-3133.5795879782745</v>
      </c>
      <c r="K18" s="8">
        <f t="shared" si="9"/>
        <v>-2902.4606601037435</v>
      </c>
      <c r="L18" s="8">
        <f t="shared" si="9"/>
        <v>-2542.740129085334</v>
      </c>
      <c r="M18" s="8">
        <f t="shared" si="9"/>
        <v>-2288.5302128659237</v>
      </c>
      <c r="N18" s="8">
        <f t="shared" si="9"/>
        <v>-2021.9222291947854</v>
      </c>
      <c r="O18" s="8">
        <f t="shared" si="9"/>
        <v>-1742.3100063477045</v>
      </c>
      <c r="P18" s="8">
        <f t="shared" si="9"/>
        <v>-1449.0572210624725</v>
      </c>
      <c r="Q18" s="8">
        <f t="shared" si="9"/>
        <v>-1141.4958597651346</v>
      </c>
      <c r="R18" s="4"/>
    </row>
    <row r="19" spans="3:18" x14ac:dyDescent="0.35">
      <c r="C19" t="s">
        <v>22</v>
      </c>
      <c r="D19">
        <v>69200</v>
      </c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3:18" x14ac:dyDescent="0.35">
      <c r="C20" t="s">
        <v>23</v>
      </c>
      <c r="D20" s="4"/>
      <c r="E20" s="4"/>
      <c r="F20" s="4"/>
      <c r="G20" t="s">
        <v>11</v>
      </c>
      <c r="H20" s="8">
        <f>H4-H14</f>
        <v>72412.709607327881</v>
      </c>
      <c r="I20" s="8">
        <f t="shared" ref="I20:Q20" si="10">I4-I14</f>
        <v>90397.88233313465</v>
      </c>
      <c r="J20" s="8">
        <f t="shared" si="10"/>
        <v>109187.17970521728</v>
      </c>
      <c r="K20" s="8">
        <f t="shared" si="10"/>
        <v>128817.84130188765</v>
      </c>
      <c r="L20" s="8">
        <f t="shared" si="10"/>
        <v>149328.90025267861</v>
      </c>
      <c r="M20" s="8">
        <f t="shared" si="10"/>
        <v>170761.2731880811</v>
      </c>
      <c r="N20" s="8">
        <f t="shared" si="10"/>
        <v>193157.8548779118</v>
      </c>
      <c r="O20" s="8">
        <f t="shared" si="10"/>
        <v>216563.61781118484</v>
      </c>
      <c r="P20" s="8">
        <f t="shared" si="10"/>
        <v>241025.71698439124</v>
      </c>
      <c r="Q20" s="8">
        <f t="shared" si="10"/>
        <v>266593.60017991229</v>
      </c>
      <c r="R20" s="4"/>
    </row>
    <row r="21" spans="3:18" x14ac:dyDescent="0.35">
      <c r="C21" t="s">
        <v>24</v>
      </c>
      <c r="D21" s="1">
        <f>D18-D19+10000+D35</f>
        <v>281300</v>
      </c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3:18" x14ac:dyDescent="0.35">
      <c r="C22" t="s">
        <v>25</v>
      </c>
      <c r="D22" s="9">
        <f>D21/27.5</f>
        <v>10229.09090909091</v>
      </c>
      <c r="G22" t="s">
        <v>12</v>
      </c>
      <c r="H22" s="8">
        <f>-H7+H9-H10-H11-H12-H18-H8-H13</f>
        <v>-5073.7367030260366</v>
      </c>
      <c r="I22" s="8">
        <f t="shared" ref="I22:Q22" si="11">-I7+I9-I10-I11-I12-I18-I8-I13</f>
        <v>-4648.930813540981</v>
      </c>
      <c r="J22" s="8">
        <f t="shared" si="11"/>
        <v>-4206.0884915895786</v>
      </c>
      <c r="K22" s="8">
        <f t="shared" si="11"/>
        <v>-3744.4913112413101</v>
      </c>
      <c r="L22" s="8">
        <f t="shared" si="11"/>
        <v>-2891.8454584702376</v>
      </c>
      <c r="M22" s="8">
        <f t="shared" si="11"/>
        <v>-2390.4760553736801</v>
      </c>
      <c r="N22" s="8">
        <f t="shared" si="11"/>
        <v>-1868.0334623760555</v>
      </c>
      <c r="O22" s="8">
        <f t="shared" si="11"/>
        <v>-1323.6875583700689</v>
      </c>
      <c r="P22" s="8">
        <f t="shared" si="11"/>
        <v>-756.57799879703066</v>
      </c>
      <c r="Q22" s="8">
        <f t="shared" si="11"/>
        <v>-165.81325172274524</v>
      </c>
      <c r="R22" s="4">
        <f>SUM(H22:Q22)</f>
        <v>-27069.681104507723</v>
      </c>
    </row>
    <row r="23" spans="3:18" x14ac:dyDescent="0.35">
      <c r="C23" t="s">
        <v>29</v>
      </c>
      <c r="D23" s="1">
        <f>D18-289500+15000</f>
        <v>58000</v>
      </c>
      <c r="G23" t="s">
        <v>14</v>
      </c>
      <c r="H23" s="8">
        <f>H9-H11-H12-H7-H18-H8</f>
        <v>-568.27709569818217</v>
      </c>
      <c r="I23" s="8">
        <f t="shared" ref="I23:Q23" si="12">I9-I11-I12-I7-I18-I8</f>
        <v>97.121912265811716</v>
      </c>
      <c r="J23" s="8">
        <f t="shared" si="12"/>
        <v>794.96888049303925</v>
      </c>
      <c r="K23" s="8">
        <f t="shared" si="12"/>
        <v>1526.8454854290553</v>
      </c>
      <c r="L23" s="8">
        <f t="shared" si="12"/>
        <v>2177.0805003206842</v>
      </c>
      <c r="M23" s="8">
        <f t="shared" si="12"/>
        <v>2982.0785683488193</v>
      </c>
      <c r="N23" s="8">
        <f t="shared" si="12"/>
        <v>3826.3371833074198</v>
      </c>
      <c r="O23" s="8">
        <f t="shared" si="12"/>
        <v>4711.775888989845</v>
      </c>
      <c r="P23" s="8">
        <f t="shared" si="12"/>
        <v>5640.409709059747</v>
      </c>
      <c r="Q23" s="8">
        <f t="shared" si="12"/>
        <v>6614.3540198346527</v>
      </c>
      <c r="R23" s="4"/>
    </row>
    <row r="24" spans="3:18" x14ac:dyDescent="0.35">
      <c r="C24" t="s">
        <v>30</v>
      </c>
      <c r="D24" s="11">
        <f>(Q24/D23)^0.1 - 1</f>
        <v>0.16763346759475528</v>
      </c>
      <c r="G24" t="s">
        <v>17</v>
      </c>
      <c r="H24" s="8">
        <f>H23+H20</f>
        <v>71844.432511629697</v>
      </c>
      <c r="I24" s="8">
        <f t="shared" ref="I24:Q24" si="13">I23+I20</f>
        <v>90495.004245400458</v>
      </c>
      <c r="J24" s="8">
        <f t="shared" si="13"/>
        <v>109982.14858571031</v>
      </c>
      <c r="K24" s="8">
        <f t="shared" si="13"/>
        <v>130344.68678731671</v>
      </c>
      <c r="L24" s="8">
        <f t="shared" si="13"/>
        <v>151505.98075299928</v>
      </c>
      <c r="M24" s="8">
        <f t="shared" si="13"/>
        <v>173743.35175642991</v>
      </c>
      <c r="N24" s="8">
        <f t="shared" si="13"/>
        <v>196984.19206121922</v>
      </c>
      <c r="O24" s="8">
        <f t="shared" si="13"/>
        <v>221275.3937001747</v>
      </c>
      <c r="P24" s="8">
        <f t="shared" si="13"/>
        <v>246666.12669345099</v>
      </c>
      <c r="Q24" s="8">
        <f t="shared" si="13"/>
        <v>273207.95419974695</v>
      </c>
      <c r="R24" s="4">
        <f>R22+Q24</f>
        <v>246138.27309523922</v>
      </c>
    </row>
    <row r="25" spans="3:18" x14ac:dyDescent="0.35">
      <c r="H25" s="8"/>
      <c r="I25" s="8"/>
      <c r="J25" s="8"/>
      <c r="K25" s="8"/>
      <c r="L25" s="8"/>
      <c r="M25" s="8"/>
      <c r="N25" s="8"/>
      <c r="O25" s="8"/>
      <c r="P25" s="8"/>
      <c r="Q25" s="8"/>
      <c r="R25" s="4"/>
    </row>
    <row r="26" spans="3:18" x14ac:dyDescent="0.35">
      <c r="C26" t="s">
        <v>40</v>
      </c>
      <c r="D26" s="2">
        <v>0.05</v>
      </c>
      <c r="G26" t="s">
        <v>41</v>
      </c>
      <c r="H26" s="8">
        <f>-H28</f>
        <v>19170.020067675348</v>
      </c>
      <c r="I26" s="8">
        <f>H26-I28</f>
        <v>20719.66367218901</v>
      </c>
      <c r="J26" s="8">
        <f t="shared" ref="J26:Q26" si="14">I26-J28</f>
        <v>22121.693169385537</v>
      </c>
      <c r="K26" s="8">
        <f t="shared" si="14"/>
        <v>23369.856939799305</v>
      </c>
      <c r="L26" s="8">
        <f t="shared" si="14"/>
        <v>24333.805425956052</v>
      </c>
      <c r="M26" s="8">
        <f t="shared" si="14"/>
        <v>25130.630777747279</v>
      </c>
      <c r="N26" s="8">
        <f t="shared" si="14"/>
        <v>25753.308598539297</v>
      </c>
      <c r="O26" s="8">
        <f t="shared" si="14"/>
        <v>26194.537784662654</v>
      </c>
      <c r="P26" s="8">
        <f t="shared" si="14"/>
        <v>26446.730450928331</v>
      </c>
      <c r="Q26" s="8">
        <f t="shared" si="14"/>
        <v>26502.001534835912</v>
      </c>
      <c r="R26" s="4"/>
    </row>
    <row r="27" spans="3:18" x14ac:dyDescent="0.35">
      <c r="D27" s="12" t="s">
        <v>27</v>
      </c>
      <c r="E27" s="13">
        <f>(D4-D15)/3*(1-D26)</f>
        <v>17478.774500000003</v>
      </c>
      <c r="G27" t="s">
        <v>18</v>
      </c>
      <c r="H27" s="8">
        <f t="shared" ref="H27:Q27" si="15">H20/3</f>
        <v>24137.569869109295</v>
      </c>
      <c r="I27" s="8">
        <f t="shared" si="15"/>
        <v>30132.627444378217</v>
      </c>
      <c r="J27" s="8">
        <f t="shared" si="15"/>
        <v>36395.726568405757</v>
      </c>
      <c r="K27" s="8">
        <f t="shared" si="15"/>
        <v>42939.280433962551</v>
      </c>
      <c r="L27" s="8">
        <f t="shared" si="15"/>
        <v>49776.300084226204</v>
      </c>
      <c r="M27" s="8">
        <f t="shared" si="15"/>
        <v>56920.424396027032</v>
      </c>
      <c r="N27" s="8">
        <f t="shared" si="15"/>
        <v>64385.9516259706</v>
      </c>
      <c r="O27" s="8">
        <f t="shared" si="15"/>
        <v>72187.872603728276</v>
      </c>
      <c r="P27" s="8">
        <f t="shared" si="15"/>
        <v>80341.905661463752</v>
      </c>
      <c r="Q27" s="8">
        <f t="shared" si="15"/>
        <v>88864.533393304097</v>
      </c>
    </row>
    <row r="28" spans="3:18" x14ac:dyDescent="0.35">
      <c r="G28" t="s">
        <v>19</v>
      </c>
      <c r="H28" s="8">
        <f>+H22/3-E27</f>
        <v>-19170.020067675348</v>
      </c>
      <c r="I28" s="8">
        <f t="shared" ref="I28:Q28" si="16">I22/3</f>
        <v>-1549.6436045136604</v>
      </c>
      <c r="J28" s="8">
        <f t="shared" si="16"/>
        <v>-1402.0294971965261</v>
      </c>
      <c r="K28" s="8">
        <f t="shared" si="16"/>
        <v>-1248.16377041377</v>
      </c>
      <c r="L28" s="8">
        <f t="shared" si="16"/>
        <v>-963.94848615674584</v>
      </c>
      <c r="M28" s="8">
        <f t="shared" si="16"/>
        <v>-796.82535179122669</v>
      </c>
      <c r="N28" s="8">
        <f t="shared" si="16"/>
        <v>-622.67782079201845</v>
      </c>
      <c r="O28" s="8">
        <f t="shared" si="16"/>
        <v>-441.22918612335633</v>
      </c>
      <c r="P28" s="8">
        <f t="shared" si="16"/>
        <v>-252.19266626567688</v>
      </c>
      <c r="Q28" s="8">
        <f t="shared" si="16"/>
        <v>-55.271083907581747</v>
      </c>
    </row>
    <row r="29" spans="3:18" x14ac:dyDescent="0.35">
      <c r="C29" t="s">
        <v>34</v>
      </c>
      <c r="D29" s="4">
        <f>SUM(D30:D32)</f>
        <v>6415.1500000000005</v>
      </c>
      <c r="G29" t="s">
        <v>20</v>
      </c>
      <c r="H29" s="8">
        <f>H20*(1/3)+H28</f>
        <v>4967.5498014339428</v>
      </c>
      <c r="I29" s="8">
        <f t="shared" ref="I29:Q29" si="17">I27+I28</f>
        <v>28582.983839864555</v>
      </c>
      <c r="J29" s="8">
        <f t="shared" si="17"/>
        <v>34993.69707120923</v>
      </c>
      <c r="K29" s="8">
        <f t="shared" si="17"/>
        <v>41691.116663548783</v>
      </c>
      <c r="L29" s="8">
        <f t="shared" si="17"/>
        <v>48812.351598069457</v>
      </c>
      <c r="M29" s="8">
        <f t="shared" si="17"/>
        <v>56123.599044235809</v>
      </c>
      <c r="N29" s="8">
        <f t="shared" si="17"/>
        <v>63763.273805178578</v>
      </c>
      <c r="O29" s="8">
        <f t="shared" si="17"/>
        <v>71746.643417604922</v>
      </c>
      <c r="P29" s="8">
        <f t="shared" si="17"/>
        <v>80089.712995198075</v>
      </c>
      <c r="Q29" s="8">
        <f t="shared" si="17"/>
        <v>88809.262309396508</v>
      </c>
    </row>
    <row r="30" spans="3:18" x14ac:dyDescent="0.35">
      <c r="C30" t="s">
        <v>35</v>
      </c>
      <c r="D30" s="3">
        <v>2117.23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3:18" x14ac:dyDescent="0.35">
      <c r="C31" t="s">
        <v>36</v>
      </c>
      <c r="D31" s="3">
        <f>317.42*12</f>
        <v>3809.04</v>
      </c>
      <c r="G31" s="6" t="s">
        <v>28</v>
      </c>
      <c r="H31" s="7">
        <f>((Q29/E27)^0.1)-1</f>
        <v>0.17650757655708627</v>
      </c>
    </row>
    <row r="32" spans="3:18" x14ac:dyDescent="0.35">
      <c r="C32" t="s">
        <v>37</v>
      </c>
      <c r="D32" s="3">
        <f>12*40.74</f>
        <v>488.88</v>
      </c>
      <c r="G32" s="6"/>
    </row>
    <row r="35" spans="3:9" x14ac:dyDescent="0.35">
      <c r="C35" t="s">
        <v>42</v>
      </c>
      <c r="D35">
        <v>8000</v>
      </c>
    </row>
    <row r="37" spans="3:9" x14ac:dyDescent="0.35">
      <c r="F37" s="4"/>
    </row>
    <row r="38" spans="3:9" x14ac:dyDescent="0.35">
      <c r="D38" s="4">
        <f>D4*0.94-D15</f>
        <v>35396.130000000005</v>
      </c>
      <c r="F38" s="4"/>
      <c r="G38" s="4"/>
    </row>
    <row r="39" spans="3:9" x14ac:dyDescent="0.35">
      <c r="G39" s="4"/>
      <c r="H39" s="4"/>
      <c r="I39" s="4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4F75-058B-497C-BA07-FB0F59BB632F}">
  <dimension ref="C3:S31"/>
  <sheetViews>
    <sheetView workbookViewId="0">
      <selection activeCell="H27" sqref="H27"/>
    </sheetView>
  </sheetViews>
  <sheetFormatPr defaultRowHeight="14.5" x14ac:dyDescent="0.35"/>
  <cols>
    <col min="3" max="3" width="27.453125" customWidth="1"/>
    <col min="4" max="4" width="12.7265625" bestFit="1" customWidth="1"/>
    <col min="5" max="6" width="12.26953125" customWidth="1"/>
    <col min="7" max="7" width="19.54296875" customWidth="1"/>
    <col min="8" max="8" width="10.453125" bestFit="1" customWidth="1"/>
    <col min="9" max="17" width="10.26953125" bestFit="1" customWidth="1"/>
    <col min="18" max="18" width="12.81640625" customWidth="1"/>
    <col min="19" max="19" width="10.26953125" bestFit="1" customWidth="1"/>
  </cols>
  <sheetData>
    <row r="3" spans="3:19" x14ac:dyDescent="0.35">
      <c r="G3" t="s">
        <v>13</v>
      </c>
      <c r="H3">
        <v>1</v>
      </c>
      <c r="I3">
        <v>2</v>
      </c>
      <c r="J3">
        <v>3</v>
      </c>
      <c r="K3">
        <v>4</v>
      </c>
      <c r="L3">
        <v>5</v>
      </c>
      <c r="M3">
        <v>6</v>
      </c>
      <c r="N3">
        <v>7</v>
      </c>
      <c r="O3">
        <v>8</v>
      </c>
      <c r="P3">
        <v>9</v>
      </c>
      <c r="Q3">
        <v>10</v>
      </c>
    </row>
    <row r="4" spans="3:19" x14ac:dyDescent="0.35">
      <c r="C4" t="s">
        <v>0</v>
      </c>
      <c r="D4" s="3">
        <v>330000</v>
      </c>
      <c r="E4" s="3"/>
      <c r="F4" s="3" t="s">
        <v>0</v>
      </c>
      <c r="H4" s="8">
        <f>D4*(1+D5)</f>
        <v>343200</v>
      </c>
      <c r="I4" s="8">
        <f>H4*(1+$D$5)</f>
        <v>356928</v>
      </c>
      <c r="J4" s="8">
        <f t="shared" ref="J4:Q4" si="0">I4*(1+$D$5)</f>
        <v>371205.12</v>
      </c>
      <c r="K4" s="8">
        <f t="shared" si="0"/>
        <v>386053.3248</v>
      </c>
      <c r="L4" s="8">
        <f t="shared" si="0"/>
        <v>401495.45779200003</v>
      </c>
      <c r="M4" s="8">
        <f t="shared" si="0"/>
        <v>417555.27610368002</v>
      </c>
      <c r="N4" s="8">
        <f t="shared" si="0"/>
        <v>434257.48714782723</v>
      </c>
      <c r="O4" s="8">
        <f t="shared" si="0"/>
        <v>451627.78663374035</v>
      </c>
      <c r="P4" s="8">
        <f t="shared" si="0"/>
        <v>469692.89809908997</v>
      </c>
      <c r="Q4" s="8">
        <f t="shared" si="0"/>
        <v>488480.61402305361</v>
      </c>
      <c r="R4" s="4"/>
    </row>
    <row r="5" spans="3:19" x14ac:dyDescent="0.35">
      <c r="C5" t="s">
        <v>1</v>
      </c>
      <c r="D5" s="5">
        <v>0.04</v>
      </c>
      <c r="E5" s="5"/>
      <c r="F5" s="5"/>
      <c r="H5" s="8"/>
      <c r="I5" s="8"/>
      <c r="J5" s="8"/>
      <c r="K5" s="8"/>
      <c r="L5" s="8"/>
      <c r="M5" s="8"/>
      <c r="N5" s="8"/>
      <c r="O5" s="8"/>
      <c r="P5" s="8"/>
      <c r="Q5" s="8"/>
      <c r="R5" s="4"/>
    </row>
    <row r="6" spans="3:19" x14ac:dyDescent="0.35">
      <c r="C6" t="s">
        <v>2</v>
      </c>
      <c r="D6" s="5">
        <v>0.03</v>
      </c>
      <c r="E6" s="5"/>
      <c r="F6" s="5"/>
      <c r="H6" s="8"/>
      <c r="I6" s="8"/>
      <c r="J6" s="8"/>
      <c r="K6" s="8"/>
      <c r="L6" s="8"/>
      <c r="M6" s="8"/>
      <c r="N6" s="8"/>
      <c r="O6" s="8"/>
      <c r="P6" s="8"/>
      <c r="Q6" s="8"/>
      <c r="R6" s="4"/>
    </row>
    <row r="7" spans="3:19" x14ac:dyDescent="0.35">
      <c r="C7" t="s">
        <v>15</v>
      </c>
      <c r="D7" s="7">
        <v>0.04</v>
      </c>
      <c r="E7" s="7"/>
      <c r="F7" s="7" t="s">
        <v>16</v>
      </c>
      <c r="H7" s="8">
        <f>(D8*12)*(1+$D$6)</f>
        <v>3708</v>
      </c>
      <c r="I7" s="8">
        <f>H7*(1+$D$6)</f>
        <v>3819.2400000000002</v>
      </c>
      <c r="J7" s="8">
        <f t="shared" ref="J7:Q7" si="1">I7*(1+$D$6)</f>
        <v>3933.8172000000004</v>
      </c>
      <c r="K7" s="8">
        <f t="shared" si="1"/>
        <v>4051.8317160000006</v>
      </c>
      <c r="L7" s="8">
        <f t="shared" si="1"/>
        <v>4173.3866674800011</v>
      </c>
      <c r="M7" s="8">
        <f t="shared" si="1"/>
        <v>4298.5882675044013</v>
      </c>
      <c r="N7" s="8">
        <f t="shared" si="1"/>
        <v>4427.5459155295339</v>
      </c>
      <c r="O7" s="8">
        <f t="shared" si="1"/>
        <v>4560.3722929954201</v>
      </c>
      <c r="P7" s="8">
        <f t="shared" si="1"/>
        <v>4697.1834617852828</v>
      </c>
      <c r="Q7" s="8">
        <f t="shared" si="1"/>
        <v>4838.098965638841</v>
      </c>
      <c r="R7" s="4"/>
    </row>
    <row r="8" spans="3:19" x14ac:dyDescent="0.35">
      <c r="C8" t="s">
        <v>3</v>
      </c>
      <c r="D8" s="1">
        <v>300</v>
      </c>
      <c r="E8" s="1"/>
      <c r="F8" s="1"/>
      <c r="H8" s="8"/>
      <c r="I8" s="8"/>
      <c r="J8" s="8"/>
      <c r="K8" s="8"/>
      <c r="L8" s="8"/>
      <c r="M8" s="8"/>
      <c r="N8" s="8"/>
      <c r="O8" s="8"/>
      <c r="P8" s="8"/>
      <c r="Q8" s="8"/>
    </row>
    <row r="9" spans="3:19" x14ac:dyDescent="0.35">
      <c r="C9" t="s">
        <v>4</v>
      </c>
      <c r="D9" s="3">
        <v>1800</v>
      </c>
      <c r="E9" s="3"/>
      <c r="F9" s="3" t="s">
        <v>4</v>
      </c>
      <c r="H9" s="8">
        <f>(D9*12)*(1+D7)</f>
        <v>22464</v>
      </c>
      <c r="I9" s="8">
        <f>H9*(1+$D$7)</f>
        <v>23362.560000000001</v>
      </c>
      <c r="J9" s="8">
        <f t="shared" ref="J9:Q9" si="2">I9*(1+$D$7)</f>
        <v>24297.062400000003</v>
      </c>
      <c r="K9" s="8">
        <f t="shared" si="2"/>
        <v>25268.944896000005</v>
      </c>
      <c r="L9" s="8">
        <f t="shared" si="2"/>
        <v>26279.702691840004</v>
      </c>
      <c r="M9" s="8">
        <f t="shared" si="2"/>
        <v>27330.890799513607</v>
      </c>
      <c r="N9" s="8">
        <f t="shared" si="2"/>
        <v>28424.126431494151</v>
      </c>
      <c r="O9" s="8">
        <f t="shared" si="2"/>
        <v>29561.091488753918</v>
      </c>
      <c r="P9" s="8">
        <f t="shared" si="2"/>
        <v>30743.535148304076</v>
      </c>
      <c r="Q9" s="8">
        <f t="shared" si="2"/>
        <v>31973.276554236239</v>
      </c>
      <c r="R9" s="4"/>
      <c r="S9" s="4"/>
    </row>
    <row r="10" spans="3:19" x14ac:dyDescent="0.35">
      <c r="C10" t="s">
        <v>5</v>
      </c>
      <c r="D10" s="7">
        <v>0.2354</v>
      </c>
      <c r="E10" s="2"/>
      <c r="F10" s="2" t="s">
        <v>6</v>
      </c>
      <c r="H10" s="8">
        <f>-PPMT(D15, 1, (28-H3+1), D14)</f>
        <v>4034.8404978218364</v>
      </c>
      <c r="I10" s="8">
        <f t="shared" ref="I10:Q10" si="3">-PPMT($D$15, 1, (28-I3+1), H13)</f>
        <v>4276.9309276911472</v>
      </c>
      <c r="J10" s="8">
        <f t="shared" si="3"/>
        <v>4533.5467833526145</v>
      </c>
      <c r="K10" s="8">
        <f t="shared" si="3"/>
        <v>4805.5595903537705</v>
      </c>
      <c r="L10" s="8">
        <f t="shared" si="3"/>
        <v>5093.8931657749981</v>
      </c>
      <c r="M10" s="8">
        <f t="shared" si="3"/>
        <v>5399.5267557214956</v>
      </c>
      <c r="N10" s="8">
        <f t="shared" si="3"/>
        <v>5723.4983610647869</v>
      </c>
      <c r="O10" s="8">
        <f t="shared" si="3"/>
        <v>6066.9082627286743</v>
      </c>
      <c r="P10" s="8">
        <f t="shared" si="3"/>
        <v>6430.9227584923929</v>
      </c>
      <c r="Q10" s="8">
        <f t="shared" si="3"/>
        <v>6816.7781240019376</v>
      </c>
      <c r="R10" s="6"/>
    </row>
    <row r="11" spans="3:19" x14ac:dyDescent="0.35">
      <c r="C11" t="s">
        <v>6</v>
      </c>
      <c r="D11" s="3"/>
      <c r="E11" s="3"/>
      <c r="F11" s="3" t="s">
        <v>7</v>
      </c>
      <c r="H11" s="8">
        <f>-IPMT($D$15, 1, (28-H3+1), $D$14)</f>
        <v>16590</v>
      </c>
      <c r="I11" s="8">
        <f t="shared" ref="I11:Q11" si="4">-IPMT($D$15, 1, (28-I3+1), H13)</f>
        <v>16347.909570130687</v>
      </c>
      <c r="J11" s="8">
        <f t="shared" si="4"/>
        <v>16091.293714469219</v>
      </c>
      <c r="K11" s="8">
        <f t="shared" si="4"/>
        <v>15819.280907468061</v>
      </c>
      <c r="L11" s="8">
        <f t="shared" si="4"/>
        <v>15530.947332046833</v>
      </c>
      <c r="M11" s="8">
        <f t="shared" si="4"/>
        <v>15225.313742100334</v>
      </c>
      <c r="N11" s="8">
        <f t="shared" si="4"/>
        <v>14901.342136757048</v>
      </c>
      <c r="O11" s="8">
        <f t="shared" si="4"/>
        <v>14557.93223509316</v>
      </c>
      <c r="P11" s="8">
        <f t="shared" si="4"/>
        <v>14193.917739329438</v>
      </c>
      <c r="Q11" s="8">
        <f t="shared" si="4"/>
        <v>13808.062373819894</v>
      </c>
      <c r="R11" s="6"/>
    </row>
    <row r="12" spans="3:19" x14ac:dyDescent="0.35">
      <c r="C12" t="s">
        <v>7</v>
      </c>
      <c r="D12" s="3"/>
      <c r="E12" s="3"/>
      <c r="F12" s="3" t="s">
        <v>8</v>
      </c>
      <c r="H12" s="8">
        <f>(D13*(1+$D$6))*12</f>
        <v>6180</v>
      </c>
      <c r="I12" s="8">
        <f>H12*(1+$D$6)</f>
        <v>6365.4000000000005</v>
      </c>
      <c r="J12" s="8">
        <f t="shared" ref="J12:Q12" si="5">I12*(1+$D$6)</f>
        <v>6556.362000000001</v>
      </c>
      <c r="K12" s="8">
        <f t="shared" si="5"/>
        <v>6753.0528600000016</v>
      </c>
      <c r="L12" s="8">
        <f t="shared" si="5"/>
        <v>6955.6444458000014</v>
      </c>
      <c r="M12" s="8">
        <f t="shared" si="5"/>
        <v>7164.3137791740019</v>
      </c>
      <c r="N12" s="8">
        <f t="shared" si="5"/>
        <v>7379.2431925492219</v>
      </c>
      <c r="O12" s="8">
        <f t="shared" si="5"/>
        <v>7600.6204883256987</v>
      </c>
      <c r="P12" s="8">
        <f t="shared" si="5"/>
        <v>7828.6391029754695</v>
      </c>
      <c r="Q12" s="8">
        <f t="shared" si="5"/>
        <v>8063.4982760647335</v>
      </c>
      <c r="R12" s="4"/>
    </row>
    <row r="13" spans="3:19" x14ac:dyDescent="0.35">
      <c r="C13" t="s">
        <v>8</v>
      </c>
      <c r="D13" s="4">
        <v>500</v>
      </c>
      <c r="E13" s="4"/>
      <c r="F13" s="4" t="s">
        <v>9</v>
      </c>
      <c r="H13" s="8">
        <f>D14-H10-H14</f>
        <v>272465.15950217814</v>
      </c>
      <c r="I13" s="8">
        <f>H13-I10-I14</f>
        <v>268188.22857448697</v>
      </c>
      <c r="J13" s="8">
        <f t="shared" ref="J13:Q13" si="6">I13-J10-J14</f>
        <v>263654.68179113435</v>
      </c>
      <c r="K13" s="8">
        <f t="shared" si="6"/>
        <v>258849.12220078058</v>
      </c>
      <c r="L13" s="8">
        <f t="shared" si="6"/>
        <v>253755.22903500558</v>
      </c>
      <c r="M13" s="8">
        <f t="shared" si="6"/>
        <v>248355.7022792841</v>
      </c>
      <c r="N13" s="8">
        <f t="shared" si="6"/>
        <v>242632.20391821931</v>
      </c>
      <c r="O13" s="8">
        <f t="shared" si="6"/>
        <v>236565.29565549063</v>
      </c>
      <c r="P13" s="8">
        <f t="shared" si="6"/>
        <v>230134.37289699825</v>
      </c>
      <c r="Q13" s="8">
        <f t="shared" si="6"/>
        <v>223317.59477299632</v>
      </c>
      <c r="R13" s="4"/>
    </row>
    <row r="14" spans="3:19" x14ac:dyDescent="0.35">
      <c r="C14" t="s">
        <v>9</v>
      </c>
      <c r="D14" s="3">
        <v>276500</v>
      </c>
      <c r="E14" s="3"/>
      <c r="F14" s="3" t="s">
        <v>31</v>
      </c>
      <c r="H14" s="8">
        <f>12*$D$24</f>
        <v>0</v>
      </c>
      <c r="I14" s="8">
        <f t="shared" ref="I14:Q14" si="7">12*$D$24</f>
        <v>0</v>
      </c>
      <c r="J14" s="8">
        <f t="shared" si="7"/>
        <v>0</v>
      </c>
      <c r="K14" s="8">
        <f t="shared" si="7"/>
        <v>0</v>
      </c>
      <c r="L14" s="8">
        <f t="shared" si="7"/>
        <v>0</v>
      </c>
      <c r="M14" s="8">
        <f t="shared" si="7"/>
        <v>0</v>
      </c>
      <c r="N14" s="8">
        <f t="shared" si="7"/>
        <v>0</v>
      </c>
      <c r="O14" s="8">
        <f t="shared" si="7"/>
        <v>0</v>
      </c>
      <c r="P14" s="8">
        <f t="shared" si="7"/>
        <v>0</v>
      </c>
      <c r="Q14" s="8">
        <f t="shared" si="7"/>
        <v>0</v>
      </c>
      <c r="R14" s="4"/>
    </row>
    <row r="15" spans="3:19" x14ac:dyDescent="0.35">
      <c r="C15" t="s">
        <v>10</v>
      </c>
      <c r="D15" s="2">
        <v>0.06</v>
      </c>
      <c r="E15" s="2"/>
      <c r="F15" s="2"/>
      <c r="H15" s="8"/>
      <c r="I15" s="8"/>
      <c r="J15" s="8"/>
      <c r="K15" s="8"/>
      <c r="L15" s="8"/>
      <c r="M15" s="8"/>
      <c r="N15" s="8"/>
      <c r="O15" s="8"/>
      <c r="P15" s="8"/>
      <c r="Q15" s="8"/>
      <c r="R15" s="4"/>
    </row>
    <row r="16" spans="3:19" x14ac:dyDescent="0.35"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3:18" x14ac:dyDescent="0.35">
      <c r="C17" t="s">
        <v>21</v>
      </c>
      <c r="D17" s="1">
        <f>319500+5000</f>
        <v>324500</v>
      </c>
      <c r="G17" t="s">
        <v>26</v>
      </c>
      <c r="H17" s="8">
        <f>(H9-H7-H11-H12-$D$21)*$D$10</f>
        <v>-3130.2636000000002</v>
      </c>
      <c r="I17" s="8">
        <f t="shared" ref="I17:Q17" si="8">(I9-I7-I11-I12-$D$21)*$D$10</f>
        <v>-2931.5835448087641</v>
      </c>
      <c r="J17" s="8">
        <f t="shared" si="8"/>
        <v>-2723.1182351060543</v>
      </c>
      <c r="K17" s="8">
        <f t="shared" si="8"/>
        <v>-2504.3869262899811</v>
      </c>
      <c r="L17" s="8">
        <f t="shared" si="8"/>
        <v>-2274.8849123708005</v>
      </c>
      <c r="M17" s="8">
        <f t="shared" si="8"/>
        <v>-2034.0823024730114</v>
      </c>
      <c r="N17" s="8">
        <f t="shared" si="8"/>
        <v>-1781.4227330606248</v>
      </c>
      <c r="O17" s="8">
        <f t="shared" si="8"/>
        <v>-1516.3220124112488</v>
      </c>
      <c r="P17" s="8">
        <f t="shared" si="8"/>
        <v>-1238.1666936720515</v>
      </c>
      <c r="Q17" s="8">
        <f t="shared" si="8"/>
        <v>-946.31257262701376</v>
      </c>
      <c r="R17" s="4"/>
    </row>
    <row r="18" spans="3:18" x14ac:dyDescent="0.35">
      <c r="C18" t="s">
        <v>22</v>
      </c>
      <c r="D18">
        <v>69200</v>
      </c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3:18" x14ac:dyDescent="0.35">
      <c r="C19" t="s">
        <v>23</v>
      </c>
      <c r="D19" s="4"/>
      <c r="E19" s="4"/>
      <c r="F19" s="4"/>
      <c r="G19" t="s">
        <v>11</v>
      </c>
      <c r="H19" s="8">
        <f>H4-H13</f>
        <v>70734.84049782186</v>
      </c>
      <c r="I19" s="8">
        <f t="shared" ref="I19:Q19" si="9">I4-I13</f>
        <v>88739.771425513027</v>
      </c>
      <c r="J19" s="8">
        <f t="shared" si="9"/>
        <v>107550.43820886564</v>
      </c>
      <c r="K19" s="8">
        <f t="shared" si="9"/>
        <v>127204.20259921942</v>
      </c>
      <c r="L19" s="8">
        <f t="shared" si="9"/>
        <v>147740.22875699445</v>
      </c>
      <c r="M19" s="8">
        <f t="shared" si="9"/>
        <v>169199.57382439592</v>
      </c>
      <c r="N19" s="8">
        <f t="shared" si="9"/>
        <v>191625.28322960791</v>
      </c>
      <c r="O19" s="8">
        <f t="shared" si="9"/>
        <v>215062.49097824973</v>
      </c>
      <c r="P19" s="8">
        <f t="shared" si="9"/>
        <v>239558.52520209173</v>
      </c>
      <c r="Q19" s="8">
        <f t="shared" si="9"/>
        <v>265163.01925005729</v>
      </c>
      <c r="R19" s="4"/>
    </row>
    <row r="20" spans="3:18" x14ac:dyDescent="0.35">
      <c r="C20" t="s">
        <v>24</v>
      </c>
      <c r="D20" s="1">
        <f>D17-D18</f>
        <v>255300</v>
      </c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3:18" x14ac:dyDescent="0.35">
      <c r="C21" t="s">
        <v>25</v>
      </c>
      <c r="D21" s="9">
        <f>D20/27.5</f>
        <v>9283.636363636364</v>
      </c>
      <c r="G21" t="s">
        <v>12</v>
      </c>
      <c r="H21" s="8">
        <f>-H7+H9-H10-H11-H12-H17-H14</f>
        <v>-4918.5768978218366</v>
      </c>
      <c r="I21" s="8">
        <f t="shared" ref="I21:Q21" si="10">-I7+I9-I10-I11-I12-I17</f>
        <v>-4515.3369530130713</v>
      </c>
      <c r="J21" s="8">
        <f t="shared" si="10"/>
        <v>-4094.8390627157787</v>
      </c>
      <c r="K21" s="8">
        <f t="shared" si="10"/>
        <v>-3656.3932515318497</v>
      </c>
      <c r="L21" s="8">
        <f t="shared" si="10"/>
        <v>-3199.2840068910273</v>
      </c>
      <c r="M21" s="8">
        <f t="shared" si="10"/>
        <v>-2722.769442513616</v>
      </c>
      <c r="N21" s="8">
        <f t="shared" si="10"/>
        <v>-2226.0804413458136</v>
      </c>
      <c r="O21" s="8">
        <f t="shared" si="10"/>
        <v>-1708.4197779777849</v>
      </c>
      <c r="P21" s="8">
        <f t="shared" si="10"/>
        <v>-1168.9612206064573</v>
      </c>
      <c r="Q21" s="8">
        <f t="shared" si="10"/>
        <v>-606.84861266215455</v>
      </c>
      <c r="R21" s="4"/>
    </row>
    <row r="22" spans="3:18" x14ac:dyDescent="0.35">
      <c r="C22" t="s">
        <v>33</v>
      </c>
      <c r="D22" s="1">
        <f>D17-289500+15000+SUM(H14:Q14)</f>
        <v>50000</v>
      </c>
      <c r="G22" t="s">
        <v>14</v>
      </c>
      <c r="H22" s="8">
        <f>H9-H11-H12-H7-H17</f>
        <v>-883.73639999999978</v>
      </c>
      <c r="I22" s="8">
        <f t="shared" ref="I22:Q22" si="11">I9-I11-I12-I7-I17</f>
        <v>-238.40602532192224</v>
      </c>
      <c r="J22" s="8">
        <f t="shared" si="11"/>
        <v>438.70772063683671</v>
      </c>
      <c r="K22" s="8">
        <f t="shared" si="11"/>
        <v>1149.1663388219226</v>
      </c>
      <c r="L22" s="8">
        <f t="shared" si="11"/>
        <v>1894.609158883969</v>
      </c>
      <c r="M22" s="8">
        <f t="shared" si="11"/>
        <v>2676.7573132078815</v>
      </c>
      <c r="N22" s="8">
        <f t="shared" si="11"/>
        <v>3497.4179197189715</v>
      </c>
      <c r="O22" s="8">
        <f t="shared" si="11"/>
        <v>4358.4884847508883</v>
      </c>
      <c r="P22" s="8">
        <f t="shared" si="11"/>
        <v>5261.9615378859362</v>
      </c>
      <c r="Q22" s="8">
        <f t="shared" si="11"/>
        <v>6209.9295113397875</v>
      </c>
      <c r="R22" s="4"/>
    </row>
    <row r="23" spans="3:18" x14ac:dyDescent="0.35">
      <c r="C23" t="s">
        <v>30</v>
      </c>
      <c r="D23" s="11">
        <f>(Q23/D22)^0.1 - 1</f>
        <v>0.18429434339427453</v>
      </c>
      <c r="G23" t="s">
        <v>17</v>
      </c>
      <c r="H23" s="8">
        <f>H22+H19</f>
        <v>69851.104097821866</v>
      </c>
      <c r="I23" s="8">
        <f t="shared" ref="I23:Q23" si="12">I22+I19</f>
        <v>88501.365400191105</v>
      </c>
      <c r="J23" s="8">
        <f t="shared" si="12"/>
        <v>107989.14592950248</v>
      </c>
      <c r="K23" s="8">
        <f t="shared" si="12"/>
        <v>128353.36893804134</v>
      </c>
      <c r="L23" s="8">
        <f t="shared" si="12"/>
        <v>149634.83791587842</v>
      </c>
      <c r="M23" s="8">
        <f t="shared" si="12"/>
        <v>171876.33113760379</v>
      </c>
      <c r="N23" s="8">
        <f t="shared" si="12"/>
        <v>195122.70114932689</v>
      </c>
      <c r="O23" s="8">
        <f t="shared" si="12"/>
        <v>219420.97946300061</v>
      </c>
      <c r="P23" s="8">
        <f t="shared" si="12"/>
        <v>244820.48673997767</v>
      </c>
      <c r="Q23" s="8">
        <f t="shared" si="12"/>
        <v>271372.9487613971</v>
      </c>
      <c r="R23" s="4"/>
    </row>
    <row r="24" spans="3:18" x14ac:dyDescent="0.35">
      <c r="C24" t="s">
        <v>32</v>
      </c>
      <c r="D24">
        <v>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4"/>
    </row>
    <row r="25" spans="3:18" x14ac:dyDescent="0.35">
      <c r="H25" s="8"/>
      <c r="I25" s="8"/>
      <c r="J25" s="8"/>
      <c r="K25" s="8"/>
      <c r="L25" s="8"/>
      <c r="M25" s="8"/>
      <c r="N25" s="8"/>
      <c r="O25" s="8"/>
      <c r="P25" s="8"/>
      <c r="Q25" s="8"/>
      <c r="R25" s="4"/>
    </row>
    <row r="26" spans="3:18" x14ac:dyDescent="0.35">
      <c r="D26" t="s">
        <v>27</v>
      </c>
      <c r="E26">
        <v>16940</v>
      </c>
      <c r="G26" t="s">
        <v>18</v>
      </c>
      <c r="H26" s="8">
        <f t="shared" ref="H26:Q26" si="13">H19/3</f>
        <v>23578.280165940621</v>
      </c>
      <c r="I26" s="8">
        <f t="shared" si="13"/>
        <v>29579.923808504343</v>
      </c>
      <c r="J26" s="8">
        <f t="shared" si="13"/>
        <v>35850.146069621878</v>
      </c>
      <c r="K26" s="8">
        <f t="shared" si="13"/>
        <v>42401.400866406475</v>
      </c>
      <c r="L26" s="8">
        <f t="shared" si="13"/>
        <v>49246.742918998149</v>
      </c>
      <c r="M26" s="8">
        <f t="shared" si="13"/>
        <v>56399.857941465307</v>
      </c>
      <c r="N26" s="8">
        <f t="shared" si="13"/>
        <v>63875.094409869307</v>
      </c>
      <c r="O26" s="8">
        <f t="shared" si="13"/>
        <v>71687.496992749904</v>
      </c>
      <c r="P26" s="8">
        <f t="shared" si="13"/>
        <v>79852.841734030575</v>
      </c>
      <c r="Q26" s="8">
        <f t="shared" si="13"/>
        <v>88387.673083352434</v>
      </c>
    </row>
    <row r="27" spans="3:18" x14ac:dyDescent="0.35">
      <c r="G27" t="s">
        <v>19</v>
      </c>
      <c r="H27" s="8">
        <f>+H21/3</f>
        <v>-1639.5256326072788</v>
      </c>
      <c r="I27" s="8">
        <f t="shared" ref="I27:Q27" si="14">I21/3</f>
        <v>-1505.1123176710237</v>
      </c>
      <c r="J27" s="8">
        <f t="shared" si="14"/>
        <v>-1364.9463542385929</v>
      </c>
      <c r="K27" s="8">
        <f t="shared" si="14"/>
        <v>-1218.7977505106167</v>
      </c>
      <c r="L27" s="8">
        <f t="shared" si="14"/>
        <v>-1066.428002297009</v>
      </c>
      <c r="M27" s="8">
        <f t="shared" si="14"/>
        <v>-907.58981417120538</v>
      </c>
      <c r="N27" s="8">
        <f t="shared" si="14"/>
        <v>-742.0268137819379</v>
      </c>
      <c r="O27" s="8">
        <f t="shared" si="14"/>
        <v>-569.47325932592832</v>
      </c>
      <c r="P27" s="8">
        <f t="shared" si="14"/>
        <v>-389.65374020215245</v>
      </c>
      <c r="Q27" s="8">
        <f t="shared" si="14"/>
        <v>-202.28287088738486</v>
      </c>
    </row>
    <row r="28" spans="3:18" x14ac:dyDescent="0.35">
      <c r="G28" t="s">
        <v>20</v>
      </c>
      <c r="H28" s="8">
        <f>H19*(1/3)+H27</f>
        <v>21938.75453333334</v>
      </c>
      <c r="I28" s="8">
        <f t="shared" ref="I28:Q28" si="15">I26+I27</f>
        <v>28074.811490833319</v>
      </c>
      <c r="J28" s="8">
        <f t="shared" si="15"/>
        <v>34485.199715383285</v>
      </c>
      <c r="K28" s="8">
        <f t="shared" si="15"/>
        <v>41182.603115895858</v>
      </c>
      <c r="L28" s="8">
        <f t="shared" si="15"/>
        <v>48180.314916701136</v>
      </c>
      <c r="M28" s="8">
        <f t="shared" si="15"/>
        <v>55492.268127294104</v>
      </c>
      <c r="N28" s="8">
        <f t="shared" si="15"/>
        <v>63133.06759608737</v>
      </c>
      <c r="O28" s="8">
        <f t="shared" si="15"/>
        <v>71118.023733423979</v>
      </c>
      <c r="P28" s="8">
        <f t="shared" si="15"/>
        <v>79463.187993828426</v>
      </c>
      <c r="Q28" s="8">
        <f t="shared" si="15"/>
        <v>88185.390212465049</v>
      </c>
    </row>
    <row r="29" spans="3:18" x14ac:dyDescent="0.35"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3:18" x14ac:dyDescent="0.35">
      <c r="G30" s="6" t="s">
        <v>28</v>
      </c>
      <c r="H30" s="7">
        <f>((Q28/E26)^0.1)-1</f>
        <v>0.17936524010039956</v>
      </c>
    </row>
    <row r="31" spans="3:18" x14ac:dyDescent="0.35">
      <c r="G31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4A02-DA6B-4A20-9560-2FFF91636F38}">
  <dimension ref="D2:X45"/>
  <sheetViews>
    <sheetView tabSelected="1" topLeftCell="D16" workbookViewId="0">
      <selection activeCell="I41" sqref="I41"/>
    </sheetView>
  </sheetViews>
  <sheetFormatPr defaultRowHeight="14.5" x14ac:dyDescent="0.35"/>
  <cols>
    <col min="4" max="4" width="15.6328125" customWidth="1"/>
    <col min="6" max="7" width="12.90625" customWidth="1"/>
    <col min="8" max="8" width="9.08984375" bestFit="1" customWidth="1"/>
    <col min="9" max="9" width="23.1796875" customWidth="1"/>
    <col min="10" max="10" width="12.453125" customWidth="1"/>
    <col min="11" max="11" width="11.6328125" customWidth="1"/>
    <col min="12" max="12" width="11.26953125" customWidth="1"/>
    <col min="14" max="14" width="8.7265625" customWidth="1"/>
    <col min="20" max="20" width="14" customWidth="1"/>
    <col min="21" max="21" width="10.453125" customWidth="1"/>
    <col min="22" max="22" width="10.81640625" bestFit="1" customWidth="1"/>
    <col min="23" max="23" width="12.453125" customWidth="1"/>
  </cols>
  <sheetData>
    <row r="2" spans="4:24" x14ac:dyDescent="0.35">
      <c r="D2" t="s">
        <v>45</v>
      </c>
      <c r="E2" t="s">
        <v>46</v>
      </c>
      <c r="F2" t="s">
        <v>47</v>
      </c>
      <c r="G2" t="s">
        <v>57</v>
      </c>
      <c r="H2" t="s">
        <v>48</v>
      </c>
      <c r="I2" t="s">
        <v>49</v>
      </c>
      <c r="J2" t="s">
        <v>64</v>
      </c>
      <c r="K2" t="s">
        <v>65</v>
      </c>
      <c r="L2" t="s">
        <v>48</v>
      </c>
      <c r="O2">
        <f>SUM(E3:E35)</f>
        <v>12736.5</v>
      </c>
      <c r="P2">
        <f>SUM(F3:F35)</f>
        <v>-18662.600000000002</v>
      </c>
      <c r="Q2">
        <f>SUM(G3:G35)</f>
        <v>-3790</v>
      </c>
    </row>
    <row r="3" spans="4:24" x14ac:dyDescent="0.35">
      <c r="F3">
        <v>-200</v>
      </c>
      <c r="H3" s="14">
        <v>45806</v>
      </c>
      <c r="I3" t="s">
        <v>63</v>
      </c>
    </row>
    <row r="4" spans="4:24" x14ac:dyDescent="0.35">
      <c r="H4" s="14">
        <v>45806</v>
      </c>
      <c r="I4" t="s">
        <v>50</v>
      </c>
      <c r="U4" t="s">
        <v>64</v>
      </c>
      <c r="V4" t="s">
        <v>66</v>
      </c>
      <c r="W4" t="s">
        <v>68</v>
      </c>
      <c r="X4" t="s">
        <v>69</v>
      </c>
    </row>
    <row r="5" spans="4:24" x14ac:dyDescent="0.35">
      <c r="F5">
        <v>-2454.7199999999998</v>
      </c>
      <c r="H5" s="14">
        <v>45809</v>
      </c>
      <c r="I5" t="s">
        <v>54</v>
      </c>
      <c r="P5">
        <f>SUM(O2:Q2)</f>
        <v>-9716.1000000000022</v>
      </c>
      <c r="T5" s="14">
        <v>45809</v>
      </c>
      <c r="U5" s="3">
        <f>_xlfn.XLOOKUP(T5, L:L, J:J)</f>
        <v>-804.7199999999998</v>
      </c>
      <c r="V5" s="3">
        <f>_xlfn.XLOOKUP(T5, L:L, K:K)</f>
        <v>-804.7199999999998</v>
      </c>
      <c r="W5" s="9">
        <v>-801.7558333333335</v>
      </c>
      <c r="X5" s="9">
        <f>W5</f>
        <v>-801.7558333333335</v>
      </c>
    </row>
    <row r="6" spans="4:24" x14ac:dyDescent="0.35">
      <c r="E6">
        <v>1836.5</v>
      </c>
      <c r="H6" s="14">
        <v>45809</v>
      </c>
      <c r="I6" t="s">
        <v>55</v>
      </c>
      <c r="T6" s="14">
        <v>45839</v>
      </c>
      <c r="U6" s="3">
        <f t="shared" ref="U6:U11" si="0">_xlfn.XLOOKUP(T6, L:L, J:J)</f>
        <v>-2174.7199999999998</v>
      </c>
      <c r="V6" s="3">
        <f t="shared" ref="V6:V11" si="1">_xlfn.XLOOKUP(T6, L:L, K:K)</f>
        <v>-2979.4399999999996</v>
      </c>
      <c r="W6" s="9">
        <v>-801.7558333333335</v>
      </c>
      <c r="X6" s="9">
        <f>W6+X5</f>
        <v>-1603.511666666667</v>
      </c>
    </row>
    <row r="7" spans="4:24" x14ac:dyDescent="0.35">
      <c r="E7">
        <v>13.5</v>
      </c>
      <c r="H7" s="14">
        <v>45809</v>
      </c>
      <c r="I7" t="s">
        <v>55</v>
      </c>
      <c r="J7">
        <f>SUM(E3:G7)</f>
        <v>-804.7199999999998</v>
      </c>
      <c r="K7">
        <f>J7</f>
        <v>-804.7199999999998</v>
      </c>
      <c r="L7" s="14">
        <f>H7</f>
        <v>45809</v>
      </c>
      <c r="T7" s="14">
        <v>45870</v>
      </c>
      <c r="U7" s="3">
        <f t="shared" si="0"/>
        <v>-1233.2199999999998</v>
      </c>
      <c r="V7" s="3">
        <f t="shared" si="1"/>
        <v>-4212.66</v>
      </c>
      <c r="W7" s="9">
        <v>-801.7558333333335</v>
      </c>
      <c r="X7" s="9">
        <f t="shared" ref="X7:X11" si="2">W7+X6</f>
        <v>-2405.2675000000004</v>
      </c>
    </row>
    <row r="8" spans="4:24" x14ac:dyDescent="0.35">
      <c r="G8">
        <v>-400</v>
      </c>
      <c r="H8" s="14">
        <v>45812</v>
      </c>
      <c r="I8" t="s">
        <v>51</v>
      </c>
      <c r="T8" s="14">
        <v>45901</v>
      </c>
      <c r="U8" s="3">
        <f t="shared" si="0"/>
        <v>-3337.1100000000006</v>
      </c>
      <c r="V8" s="3">
        <f t="shared" si="1"/>
        <v>-7549.77</v>
      </c>
      <c r="W8" s="9">
        <v>-801.7558333333335</v>
      </c>
      <c r="X8" s="9">
        <f t="shared" si="2"/>
        <v>-3207.023333333334</v>
      </c>
    </row>
    <row r="9" spans="4:24" x14ac:dyDescent="0.35">
      <c r="F9">
        <v>-925</v>
      </c>
      <c r="H9" s="14">
        <v>45817</v>
      </c>
      <c r="I9" t="s">
        <v>52</v>
      </c>
      <c r="T9" s="14">
        <v>45931</v>
      </c>
      <c r="U9" s="3">
        <f t="shared" si="0"/>
        <v>-922.11000000000013</v>
      </c>
      <c r="V9" s="3">
        <f t="shared" si="1"/>
        <v>-8471.880000000001</v>
      </c>
      <c r="W9" s="9">
        <v>-801.7558333333335</v>
      </c>
      <c r="X9" s="9">
        <f t="shared" si="2"/>
        <v>-4008.7791666666676</v>
      </c>
    </row>
    <row r="10" spans="4:24" x14ac:dyDescent="0.35">
      <c r="F10">
        <v>-95</v>
      </c>
      <c r="H10" s="14">
        <v>45817</v>
      </c>
      <c r="I10" t="s">
        <v>53</v>
      </c>
      <c r="T10" s="14">
        <v>45962</v>
      </c>
      <c r="U10" s="3">
        <f t="shared" si="0"/>
        <v>-622.11000000000013</v>
      </c>
      <c r="V10" s="3">
        <f t="shared" si="1"/>
        <v>-9093.9900000000016</v>
      </c>
      <c r="W10" s="9">
        <v>-801.7558333333335</v>
      </c>
      <c r="X10" s="9">
        <f t="shared" si="2"/>
        <v>-4810.5350000000008</v>
      </c>
    </row>
    <row r="11" spans="4:24" x14ac:dyDescent="0.35">
      <c r="G11">
        <v>-150</v>
      </c>
      <c r="H11" s="14">
        <v>45828</v>
      </c>
      <c r="I11" t="s">
        <v>56</v>
      </c>
      <c r="T11" s="14">
        <v>45992</v>
      </c>
      <c r="U11" s="3">
        <f t="shared" si="0"/>
        <v>-622.11000000000013</v>
      </c>
      <c r="V11" s="3">
        <f t="shared" si="1"/>
        <v>-9716.1000000000022</v>
      </c>
      <c r="W11" s="9">
        <v>-801.7558333333335</v>
      </c>
      <c r="X11" s="9">
        <f t="shared" si="2"/>
        <v>-5612.2908333333344</v>
      </c>
    </row>
    <row r="12" spans="4:24" x14ac:dyDescent="0.35">
      <c r="F12">
        <v>-2454.7199999999998</v>
      </c>
      <c r="H12" s="14">
        <v>45839</v>
      </c>
      <c r="I12" t="s">
        <v>54</v>
      </c>
    </row>
    <row r="13" spans="4:24" x14ac:dyDescent="0.35">
      <c r="E13">
        <v>1850</v>
      </c>
      <c r="H13" s="14">
        <v>45839</v>
      </c>
      <c r="I13" t="s">
        <v>55</v>
      </c>
      <c r="J13">
        <f>SUM(E8:G13)</f>
        <v>-2174.7199999999998</v>
      </c>
      <c r="K13">
        <f>J13+K7</f>
        <v>-2979.4399999999996</v>
      </c>
      <c r="L13" s="14">
        <f>H13</f>
        <v>45839</v>
      </c>
    </row>
    <row r="14" spans="4:24" x14ac:dyDescent="0.35">
      <c r="F14">
        <v>-95</v>
      </c>
      <c r="H14" s="14">
        <v>45846</v>
      </c>
      <c r="I14" t="s">
        <v>53</v>
      </c>
    </row>
    <row r="15" spans="4:24" x14ac:dyDescent="0.35">
      <c r="F15">
        <v>-2454.7199999999998</v>
      </c>
      <c r="H15" s="14">
        <v>45870</v>
      </c>
      <c r="I15" t="s">
        <v>54</v>
      </c>
    </row>
    <row r="16" spans="4:24" x14ac:dyDescent="0.35">
      <c r="G16">
        <v>-320</v>
      </c>
      <c r="H16" s="14">
        <v>45870</v>
      </c>
      <c r="I16" t="s">
        <v>58</v>
      </c>
    </row>
    <row r="17" spans="5:12" x14ac:dyDescent="0.35">
      <c r="E17">
        <v>873.5</v>
      </c>
      <c r="H17" s="14">
        <v>45870</v>
      </c>
      <c r="I17" t="s">
        <v>55</v>
      </c>
    </row>
    <row r="18" spans="5:12" x14ac:dyDescent="0.35">
      <c r="E18">
        <v>763</v>
      </c>
      <c r="H18" s="14">
        <v>45870</v>
      </c>
      <c r="I18" t="s">
        <v>55</v>
      </c>
      <c r="J18">
        <f>SUM(E14:G18)</f>
        <v>-1233.2199999999998</v>
      </c>
      <c r="K18">
        <f>J18+K13</f>
        <v>-4212.66</v>
      </c>
      <c r="L18" s="14">
        <f>H18</f>
        <v>45870</v>
      </c>
    </row>
    <row r="19" spans="5:12" x14ac:dyDescent="0.35">
      <c r="G19">
        <v>-595</v>
      </c>
      <c r="H19" s="14">
        <v>45873</v>
      </c>
      <c r="I19" t="s">
        <v>59</v>
      </c>
    </row>
    <row r="20" spans="5:12" x14ac:dyDescent="0.35">
      <c r="G20">
        <v>-1550</v>
      </c>
      <c r="H20" s="14">
        <v>45875</v>
      </c>
      <c r="I20" t="s">
        <v>60</v>
      </c>
    </row>
    <row r="21" spans="5:12" x14ac:dyDescent="0.35">
      <c r="F21">
        <v>-95</v>
      </c>
      <c r="H21" s="14">
        <v>45876</v>
      </c>
      <c r="I21" t="s">
        <v>53</v>
      </c>
    </row>
    <row r="22" spans="5:12" x14ac:dyDescent="0.35">
      <c r="G22">
        <v>-475</v>
      </c>
      <c r="H22" s="14">
        <v>45897</v>
      </c>
      <c r="I22" t="s">
        <v>61</v>
      </c>
    </row>
    <row r="23" spans="5:12" x14ac:dyDescent="0.35">
      <c r="F23">
        <v>-2377.11</v>
      </c>
      <c r="H23" s="14">
        <v>45901</v>
      </c>
      <c r="I23" t="s">
        <v>54</v>
      </c>
    </row>
    <row r="24" spans="5:12" x14ac:dyDescent="0.35">
      <c r="F24">
        <v>-95</v>
      </c>
      <c r="H24" s="14">
        <v>45901</v>
      </c>
      <c r="I24" t="s">
        <v>53</v>
      </c>
    </row>
    <row r="25" spans="5:12" x14ac:dyDescent="0.35">
      <c r="E25">
        <v>1850</v>
      </c>
      <c r="H25" s="14">
        <v>45901</v>
      </c>
      <c r="I25" t="s">
        <v>55</v>
      </c>
      <c r="J25">
        <f>SUM(E19:G25)</f>
        <v>-3337.1100000000006</v>
      </c>
      <c r="K25">
        <f>J25+K18</f>
        <v>-7549.77</v>
      </c>
      <c r="L25" s="14">
        <f>H25</f>
        <v>45901</v>
      </c>
    </row>
    <row r="26" spans="5:12" x14ac:dyDescent="0.35">
      <c r="G26">
        <v>-300</v>
      </c>
      <c r="H26" s="14">
        <v>45903</v>
      </c>
      <c r="I26" t="s">
        <v>62</v>
      </c>
    </row>
    <row r="27" spans="5:12" x14ac:dyDescent="0.35">
      <c r="F27">
        <v>-2377.11</v>
      </c>
      <c r="H27" s="14">
        <v>45931</v>
      </c>
      <c r="I27" t="s">
        <v>54</v>
      </c>
    </row>
    <row r="28" spans="5:12" x14ac:dyDescent="0.35">
      <c r="F28">
        <v>-95</v>
      </c>
      <c r="H28" s="14">
        <v>45931</v>
      </c>
      <c r="I28" t="s">
        <v>53</v>
      </c>
    </row>
    <row r="29" spans="5:12" x14ac:dyDescent="0.35">
      <c r="E29">
        <v>1850</v>
      </c>
      <c r="H29" s="14">
        <v>45931</v>
      </c>
      <c r="I29" t="s">
        <v>55</v>
      </c>
      <c r="J29">
        <f>SUM(E26:G29)</f>
        <v>-922.11000000000013</v>
      </c>
      <c r="K29">
        <f>J29+K25</f>
        <v>-8471.880000000001</v>
      </c>
      <c r="L29" s="14">
        <f>H29</f>
        <v>45931</v>
      </c>
    </row>
    <row r="30" spans="5:12" x14ac:dyDescent="0.35">
      <c r="F30">
        <v>-2377.11</v>
      </c>
      <c r="H30" s="14">
        <v>45962</v>
      </c>
      <c r="I30" t="s">
        <v>54</v>
      </c>
    </row>
    <row r="31" spans="5:12" x14ac:dyDescent="0.35">
      <c r="F31">
        <v>-95</v>
      </c>
      <c r="H31" s="14">
        <v>45962</v>
      </c>
      <c r="I31" t="s">
        <v>53</v>
      </c>
    </row>
    <row r="32" spans="5:12" x14ac:dyDescent="0.35">
      <c r="E32">
        <v>1850</v>
      </c>
      <c r="H32" s="14">
        <v>45962</v>
      </c>
      <c r="I32" t="s">
        <v>55</v>
      </c>
      <c r="J32">
        <f>SUM(E30:G32)</f>
        <v>-622.11000000000013</v>
      </c>
      <c r="K32">
        <f>J32+K29</f>
        <v>-9093.9900000000016</v>
      </c>
      <c r="L32" s="14">
        <f>H32</f>
        <v>45962</v>
      </c>
    </row>
    <row r="33" spans="5:21" x14ac:dyDescent="0.35">
      <c r="F33">
        <v>-2377.11</v>
      </c>
      <c r="H33" s="14">
        <v>45992</v>
      </c>
      <c r="I33" t="s">
        <v>54</v>
      </c>
    </row>
    <row r="34" spans="5:21" x14ac:dyDescent="0.35">
      <c r="F34">
        <v>-95</v>
      </c>
      <c r="H34" s="14">
        <v>45992</v>
      </c>
      <c r="I34" t="s">
        <v>53</v>
      </c>
    </row>
    <row r="35" spans="5:21" x14ac:dyDescent="0.35">
      <c r="E35">
        <v>1850</v>
      </c>
      <c r="H35" s="14">
        <v>45992</v>
      </c>
      <c r="I35" t="s">
        <v>55</v>
      </c>
      <c r="J35">
        <f>SUM(E33:G35)</f>
        <v>-622.11000000000013</v>
      </c>
      <c r="K35">
        <f>J35+K32</f>
        <v>-9716.1000000000022</v>
      </c>
      <c r="L35" s="14">
        <f>H35</f>
        <v>45992</v>
      </c>
    </row>
    <row r="37" spans="5:21" x14ac:dyDescent="0.35">
      <c r="K37" t="s">
        <v>72</v>
      </c>
    </row>
    <row r="38" spans="5:21" x14ac:dyDescent="0.35">
      <c r="K38">
        <f>K35-F3-F9</f>
        <v>-8591.1000000000022</v>
      </c>
      <c r="T38" t="s">
        <v>70</v>
      </c>
    </row>
    <row r="39" spans="5:21" x14ac:dyDescent="0.35">
      <c r="K39">
        <f>K38+600</f>
        <v>-7991.1000000000022</v>
      </c>
      <c r="T39">
        <v>5000</v>
      </c>
    </row>
    <row r="40" spans="5:21" x14ac:dyDescent="0.35">
      <c r="J40" t="s">
        <v>73</v>
      </c>
      <c r="K40">
        <f>K39/3</f>
        <v>-2663.7000000000007</v>
      </c>
      <c r="T40">
        <v>5000</v>
      </c>
    </row>
    <row r="41" spans="5:21" x14ac:dyDescent="0.35">
      <c r="T41">
        <v>5000</v>
      </c>
    </row>
    <row r="42" spans="5:21" x14ac:dyDescent="0.35">
      <c r="S42" t="s">
        <v>71</v>
      </c>
    </row>
    <row r="43" spans="5:21" x14ac:dyDescent="0.35">
      <c r="S43">
        <v>17478.774500000003</v>
      </c>
    </row>
    <row r="44" spans="5:21" x14ac:dyDescent="0.35">
      <c r="T44" t="s">
        <v>74</v>
      </c>
      <c r="U44" s="14">
        <v>46022</v>
      </c>
    </row>
    <row r="45" spans="5:21" x14ac:dyDescent="0.35">
      <c r="T45" s="15">
        <f>S43-SUM(T39:T41)-K40</f>
        <v>5142.4745000000039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 extra principal payment</vt:lpstr>
      <vt:lpstr>Running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Andrew</dc:creator>
  <cp:lastModifiedBy>Smith, Andrew</cp:lastModifiedBy>
  <dcterms:created xsi:type="dcterms:W3CDTF">2025-04-15T14:08:17Z</dcterms:created>
  <dcterms:modified xsi:type="dcterms:W3CDTF">2025-12-20T02:16:34Z</dcterms:modified>
</cp:coreProperties>
</file>